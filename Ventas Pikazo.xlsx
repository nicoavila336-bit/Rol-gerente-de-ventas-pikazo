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COLLE\OneDrive\Escritorio\"/>
    </mc:Choice>
  </mc:AlternateContent>
  <xr:revisionPtr revIDLastSave="0" documentId="13_ncr:1_{F7CED1C1-A948-4719-9296-8F3C659F27D5}" xr6:coauthVersionLast="47" xr6:coauthVersionMax="47" xr10:uidLastSave="{00000000-0000-0000-0000-000000000000}"/>
  <bookViews>
    <workbookView xWindow="-120" yWindow="-120" windowWidth="20730" windowHeight="11040" tabRatio="881" activeTab="5" xr2:uid="{00000000-000D-0000-FFFF-FFFF00000000}"/>
  </bookViews>
  <sheets>
    <sheet name="Datos" sheetId="2" r:id="rId1"/>
    <sheet name="Product" sheetId="3" r:id="rId2"/>
    <sheet name="Venta" sheetId="4" r:id="rId3"/>
    <sheet name="Venta Semana" sheetId="5" r:id="rId4"/>
    <sheet name="Venta por Vendedor" sheetId="24" r:id="rId5"/>
    <sheet name="Base de datos clientes" sheetId="27" r:id="rId6"/>
    <sheet name="Plan de ventas" sheetId="25" r:id="rId7"/>
  </sheets>
  <definedNames>
    <definedName name="_xlnm._FilterDatabase" localSheetId="5" hidden="1">'Base de datos clientes'!$A$1:$H$1</definedName>
    <definedName name="_xlnm._FilterDatabase" localSheetId="2" hidden="1">Venta!$B$3:$J$365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7" roundtripDataChecksum="Mh7lrXMiODO3dkNxwdXXvRsXrjkzYeYy0h2FCzUgaHU="/>
    </ext>
  </extLst>
</workbook>
</file>

<file path=xl/calcChain.xml><?xml version="1.0" encoding="utf-8"?>
<calcChain xmlns="http://schemas.openxmlformats.org/spreadsheetml/2006/main">
  <c r="I35" i="24" l="1"/>
  <c r="I34" i="24"/>
  <c r="I33" i="24"/>
  <c r="I32" i="24"/>
  <c r="I31" i="24"/>
  <c r="I30" i="24"/>
  <c r="G106" i="4"/>
  <c r="I106" i="4" s="1"/>
  <c r="G113" i="4"/>
  <c r="I113" i="4" s="1"/>
  <c r="C17" i="5"/>
  <c r="D17" i="5" s="1"/>
  <c r="F17" i="5"/>
  <c r="H17" i="5"/>
  <c r="J17" i="5"/>
  <c r="K17" i="5"/>
  <c r="L17" i="5"/>
  <c r="C18" i="5"/>
  <c r="F18" i="5" s="1"/>
  <c r="D18" i="5"/>
  <c r="E18" i="5"/>
  <c r="H18" i="5"/>
  <c r="I18" i="5"/>
  <c r="K18" i="5"/>
  <c r="L18" i="5"/>
  <c r="M18" i="5"/>
  <c r="D8" i="5"/>
  <c r="E8" i="5"/>
  <c r="C8" i="5"/>
  <c r="C7" i="5"/>
  <c r="E7" i="5" s="1"/>
  <c r="G107" i="4"/>
  <c r="I107" i="4" s="1"/>
  <c r="G104" i="4"/>
  <c r="I104" i="4" s="1"/>
  <c r="C45" i="24"/>
  <c r="D45" i="24"/>
  <c r="E45" i="24"/>
  <c r="H45" i="24"/>
  <c r="J45" i="24" s="1"/>
  <c r="I45" i="24"/>
  <c r="C54" i="24"/>
  <c r="D54" i="24"/>
  <c r="E54" i="24"/>
  <c r="H54" i="24"/>
  <c r="I54" i="24"/>
  <c r="C63" i="24"/>
  <c r="D63" i="24"/>
  <c r="E63" i="24"/>
  <c r="H63" i="24"/>
  <c r="I63" i="24"/>
  <c r="C72" i="24"/>
  <c r="D72" i="24"/>
  <c r="E72" i="24"/>
  <c r="H72" i="24"/>
  <c r="I72" i="24"/>
  <c r="C81" i="24"/>
  <c r="D81" i="24"/>
  <c r="E81" i="24"/>
  <c r="H81" i="24"/>
  <c r="I81" i="24"/>
  <c r="C90" i="24"/>
  <c r="D90" i="24"/>
  <c r="E90" i="24"/>
  <c r="H90" i="24"/>
  <c r="I90" i="24"/>
  <c r="C36" i="24"/>
  <c r="D36" i="24"/>
  <c r="E36" i="24"/>
  <c r="D27" i="24"/>
  <c r="E27" i="24"/>
  <c r="I27" i="24"/>
  <c r="C27" i="24"/>
  <c r="H21" i="24"/>
  <c r="H16" i="5"/>
  <c r="L16" i="5"/>
  <c r="D6" i="5"/>
  <c r="C16" i="5"/>
  <c r="I16" i="5" s="1"/>
  <c r="C6" i="5"/>
  <c r="E6" i="5" s="1"/>
  <c r="I5" i="24"/>
  <c r="M9" i="4"/>
  <c r="I14" i="24"/>
  <c r="I15" i="24"/>
  <c r="I16" i="24"/>
  <c r="I17" i="24"/>
  <c r="I18" i="24"/>
  <c r="I13" i="24"/>
  <c r="I10" i="24"/>
  <c r="C9" i="24"/>
  <c r="I9" i="24" s="1"/>
  <c r="C7" i="24"/>
  <c r="D6" i="24"/>
  <c r="I6" i="24" s="1"/>
  <c r="C5" i="3"/>
  <c r="C3" i="5" s="1"/>
  <c r="H3" i="5" s="1"/>
  <c r="C6" i="3"/>
  <c r="G43" i="4" s="1"/>
  <c r="I43" i="4" s="1"/>
  <c r="C7" i="3"/>
  <c r="J63" i="24" l="1"/>
  <c r="J90" i="24"/>
  <c r="J81" i="24"/>
  <c r="J54" i="24"/>
  <c r="I36" i="24"/>
  <c r="J72" i="24"/>
  <c r="J18" i="5"/>
  <c r="M17" i="5"/>
  <c r="I17" i="5"/>
  <c r="E17" i="5"/>
  <c r="D16" i="5"/>
  <c r="K16" i="5"/>
  <c r="E16" i="5"/>
  <c r="J16" i="5"/>
  <c r="M16" i="5"/>
  <c r="D7" i="5"/>
  <c r="G50" i="4"/>
  <c r="I50" i="4" s="1"/>
  <c r="G54" i="4"/>
  <c r="I54" i="4" s="1"/>
  <c r="G53" i="4"/>
  <c r="I53" i="4" s="1"/>
  <c r="G89" i="4"/>
  <c r="G46" i="4"/>
  <c r="I46" i="4" s="1"/>
  <c r="G44" i="4"/>
  <c r="I44" i="4" s="1"/>
  <c r="G40" i="4"/>
  <c r="I40" i="4" s="1"/>
  <c r="G93" i="4"/>
  <c r="G55" i="4"/>
  <c r="I55" i="4" s="1"/>
  <c r="G42" i="4"/>
  <c r="I42" i="4" s="1"/>
  <c r="G56" i="4"/>
  <c r="I56" i="4" s="1"/>
  <c r="G73" i="4"/>
  <c r="G45" i="4"/>
  <c r="I45" i="4" s="1"/>
  <c r="G49" i="4"/>
  <c r="I49" i="4" s="1"/>
  <c r="G26" i="4"/>
  <c r="G72" i="4"/>
  <c r="G88" i="4"/>
  <c r="L3" i="5"/>
  <c r="K3" i="5"/>
  <c r="J3" i="5"/>
  <c r="M3" i="5"/>
  <c r="I3" i="5"/>
  <c r="J13" i="24"/>
  <c r="I8" i="24"/>
  <c r="I7" i="24"/>
  <c r="C5" i="5"/>
  <c r="C4" i="5"/>
  <c r="I5" i="5" l="1"/>
  <c r="M5" i="5"/>
  <c r="J5" i="5"/>
  <c r="H5" i="5"/>
  <c r="K5" i="5"/>
  <c r="L5" i="5"/>
  <c r="H4" i="5"/>
  <c r="J4" i="5"/>
  <c r="L4" i="5"/>
  <c r="I4" i="5"/>
  <c r="M4" i="5"/>
  <c r="K4" i="5"/>
  <c r="J5" i="24"/>
  <c r="K9" i="5" l="1"/>
  <c r="J9" i="5"/>
  <c r="H9" i="5"/>
  <c r="L9" i="5"/>
  <c r="M9" i="5"/>
  <c r="I9" i="5"/>
  <c r="C14" i="5"/>
  <c r="C15" i="5"/>
  <c r="G39" i="4" l="1"/>
  <c r="C13" i="5"/>
  <c r="G4" i="4"/>
  <c r="I4" i="4" s="1"/>
  <c r="G7" i="4"/>
  <c r="I7" i="4" s="1"/>
  <c r="G5" i="4"/>
  <c r="I5" i="4" s="1"/>
  <c r="G8" i="4"/>
  <c r="I8" i="4" s="1"/>
  <c r="G9" i="4"/>
  <c r="I9" i="4" s="1"/>
  <c r="G6" i="4"/>
  <c r="I6" i="4" s="1"/>
  <c r="I15" i="5" l="1"/>
  <c r="M14" i="5"/>
  <c r="G365" i="4"/>
  <c r="I365" i="4" s="1"/>
  <c r="G364" i="4"/>
  <c r="I364" i="4" s="1"/>
  <c r="G363" i="4"/>
  <c r="I363" i="4" s="1"/>
  <c r="G362" i="4"/>
  <c r="I362" i="4" s="1"/>
  <c r="G361" i="4"/>
  <c r="I361" i="4" s="1"/>
  <c r="G360" i="4"/>
  <c r="I360" i="4" s="1"/>
  <c r="G359" i="4"/>
  <c r="I359" i="4" s="1"/>
  <c r="G358" i="4"/>
  <c r="I358" i="4" s="1"/>
  <c r="G357" i="4"/>
  <c r="I357" i="4" s="1"/>
  <c r="G356" i="4"/>
  <c r="I356" i="4" s="1"/>
  <c r="G355" i="4"/>
  <c r="I355" i="4" s="1"/>
  <c r="G354" i="4"/>
  <c r="I354" i="4" s="1"/>
  <c r="G353" i="4"/>
  <c r="I353" i="4" s="1"/>
  <c r="G352" i="4"/>
  <c r="I352" i="4" s="1"/>
  <c r="G351" i="4"/>
  <c r="I351" i="4" s="1"/>
  <c r="G350" i="4"/>
  <c r="I350" i="4" s="1"/>
  <c r="G349" i="4"/>
  <c r="I349" i="4" s="1"/>
  <c r="G348" i="4"/>
  <c r="I348" i="4" s="1"/>
  <c r="G347" i="4"/>
  <c r="I347" i="4" s="1"/>
  <c r="G346" i="4"/>
  <c r="I346" i="4" s="1"/>
  <c r="G345" i="4"/>
  <c r="I345" i="4" s="1"/>
  <c r="G344" i="4"/>
  <c r="I344" i="4" s="1"/>
  <c r="G343" i="4"/>
  <c r="I343" i="4" s="1"/>
  <c r="G342" i="4"/>
  <c r="I342" i="4" s="1"/>
  <c r="G341" i="4"/>
  <c r="I341" i="4" s="1"/>
  <c r="G340" i="4"/>
  <c r="I340" i="4" s="1"/>
  <c r="G339" i="4"/>
  <c r="I339" i="4" s="1"/>
  <c r="G338" i="4"/>
  <c r="I338" i="4" s="1"/>
  <c r="G337" i="4"/>
  <c r="I337" i="4" s="1"/>
  <c r="G336" i="4"/>
  <c r="I336" i="4" s="1"/>
  <c r="G335" i="4"/>
  <c r="I335" i="4" s="1"/>
  <c r="G334" i="4"/>
  <c r="I334" i="4" s="1"/>
  <c r="G333" i="4"/>
  <c r="I333" i="4" s="1"/>
  <c r="G332" i="4"/>
  <c r="I332" i="4" s="1"/>
  <c r="G331" i="4"/>
  <c r="I331" i="4" s="1"/>
  <c r="G330" i="4"/>
  <c r="I330" i="4" s="1"/>
  <c r="G329" i="4"/>
  <c r="I329" i="4" s="1"/>
  <c r="G328" i="4"/>
  <c r="I328" i="4" s="1"/>
  <c r="G327" i="4"/>
  <c r="I327" i="4" s="1"/>
  <c r="G326" i="4"/>
  <c r="I326" i="4" s="1"/>
  <c r="G325" i="4"/>
  <c r="I325" i="4" s="1"/>
  <c r="G324" i="4"/>
  <c r="I324" i="4" s="1"/>
  <c r="G323" i="4"/>
  <c r="I323" i="4" s="1"/>
  <c r="G322" i="4"/>
  <c r="I322" i="4" s="1"/>
  <c r="G321" i="4"/>
  <c r="I321" i="4" s="1"/>
  <c r="G320" i="4"/>
  <c r="I320" i="4" s="1"/>
  <c r="G319" i="4"/>
  <c r="I319" i="4" s="1"/>
  <c r="G318" i="4"/>
  <c r="I318" i="4" s="1"/>
  <c r="G317" i="4"/>
  <c r="I317" i="4" s="1"/>
  <c r="G316" i="4"/>
  <c r="I316" i="4" s="1"/>
  <c r="G315" i="4"/>
  <c r="I315" i="4" s="1"/>
  <c r="G314" i="4"/>
  <c r="I314" i="4" s="1"/>
  <c r="G313" i="4"/>
  <c r="I313" i="4" s="1"/>
  <c r="G312" i="4"/>
  <c r="I312" i="4" s="1"/>
  <c r="G311" i="4"/>
  <c r="I311" i="4" s="1"/>
  <c r="G310" i="4"/>
  <c r="I310" i="4" s="1"/>
  <c r="G309" i="4"/>
  <c r="I309" i="4" s="1"/>
  <c r="G308" i="4"/>
  <c r="I308" i="4" s="1"/>
  <c r="G307" i="4"/>
  <c r="I307" i="4" s="1"/>
  <c r="G306" i="4"/>
  <c r="I306" i="4" s="1"/>
  <c r="G305" i="4"/>
  <c r="I305" i="4" s="1"/>
  <c r="G304" i="4"/>
  <c r="I304" i="4" s="1"/>
  <c r="G303" i="4"/>
  <c r="I303" i="4" s="1"/>
  <c r="G302" i="4"/>
  <c r="I302" i="4" s="1"/>
  <c r="G301" i="4"/>
  <c r="I301" i="4" s="1"/>
  <c r="G300" i="4"/>
  <c r="I300" i="4" s="1"/>
  <c r="G299" i="4"/>
  <c r="I299" i="4" s="1"/>
  <c r="G298" i="4"/>
  <c r="I298" i="4" s="1"/>
  <c r="G297" i="4"/>
  <c r="I297" i="4" s="1"/>
  <c r="G296" i="4"/>
  <c r="I296" i="4" s="1"/>
  <c r="G295" i="4"/>
  <c r="I295" i="4" s="1"/>
  <c r="G294" i="4"/>
  <c r="I294" i="4" s="1"/>
  <c r="G293" i="4"/>
  <c r="I293" i="4" s="1"/>
  <c r="G292" i="4"/>
  <c r="I292" i="4" s="1"/>
  <c r="G291" i="4"/>
  <c r="I291" i="4" s="1"/>
  <c r="G290" i="4"/>
  <c r="I290" i="4" s="1"/>
  <c r="G289" i="4"/>
  <c r="I289" i="4" s="1"/>
  <c r="G288" i="4"/>
  <c r="I288" i="4" s="1"/>
  <c r="G287" i="4"/>
  <c r="I287" i="4" s="1"/>
  <c r="G286" i="4"/>
  <c r="I286" i="4" s="1"/>
  <c r="G285" i="4"/>
  <c r="I285" i="4" s="1"/>
  <c r="G284" i="4"/>
  <c r="I284" i="4" s="1"/>
  <c r="G283" i="4"/>
  <c r="I283" i="4" s="1"/>
  <c r="G282" i="4"/>
  <c r="I282" i="4" s="1"/>
  <c r="G281" i="4"/>
  <c r="I281" i="4" s="1"/>
  <c r="G280" i="4"/>
  <c r="I280" i="4" s="1"/>
  <c r="G279" i="4"/>
  <c r="I279" i="4" s="1"/>
  <c r="G278" i="4"/>
  <c r="I278" i="4" s="1"/>
  <c r="G277" i="4"/>
  <c r="I277" i="4" s="1"/>
  <c r="G276" i="4"/>
  <c r="I276" i="4" s="1"/>
  <c r="G275" i="4"/>
  <c r="I275" i="4" s="1"/>
  <c r="G274" i="4"/>
  <c r="I274" i="4" s="1"/>
  <c r="G273" i="4"/>
  <c r="I273" i="4" s="1"/>
  <c r="G272" i="4"/>
  <c r="I272" i="4" s="1"/>
  <c r="G271" i="4"/>
  <c r="I271" i="4" s="1"/>
  <c r="G270" i="4"/>
  <c r="I270" i="4" s="1"/>
  <c r="G269" i="4"/>
  <c r="I269" i="4" s="1"/>
  <c r="G268" i="4"/>
  <c r="I268" i="4" s="1"/>
  <c r="G267" i="4"/>
  <c r="I267" i="4" s="1"/>
  <c r="G266" i="4"/>
  <c r="I266" i="4" s="1"/>
  <c r="G265" i="4"/>
  <c r="I265" i="4" s="1"/>
  <c r="G264" i="4"/>
  <c r="I264" i="4" s="1"/>
  <c r="G263" i="4"/>
  <c r="I263" i="4" s="1"/>
  <c r="G262" i="4"/>
  <c r="I262" i="4" s="1"/>
  <c r="G261" i="4"/>
  <c r="I261" i="4" s="1"/>
  <c r="G260" i="4"/>
  <c r="I260" i="4" s="1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G251" i="4"/>
  <c r="I251" i="4" s="1"/>
  <c r="G250" i="4"/>
  <c r="I250" i="4" s="1"/>
  <c r="G249" i="4"/>
  <c r="I249" i="4" s="1"/>
  <c r="G248" i="4"/>
  <c r="I248" i="4" s="1"/>
  <c r="G247" i="4"/>
  <c r="I247" i="4" s="1"/>
  <c r="G246" i="4"/>
  <c r="I246" i="4" s="1"/>
  <c r="G245" i="4"/>
  <c r="I245" i="4" s="1"/>
  <c r="G244" i="4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I235" i="4" s="1"/>
  <c r="G234" i="4"/>
  <c r="I234" i="4" s="1"/>
  <c r="G233" i="4"/>
  <c r="I233" i="4" s="1"/>
  <c r="G232" i="4"/>
  <c r="I232" i="4" s="1"/>
  <c r="G231" i="4"/>
  <c r="I231" i="4" s="1"/>
  <c r="G230" i="4"/>
  <c r="I230" i="4" s="1"/>
  <c r="G229" i="4"/>
  <c r="I229" i="4" s="1"/>
  <c r="G228" i="4"/>
  <c r="I228" i="4" s="1"/>
  <c r="G227" i="4"/>
  <c r="I227" i="4" s="1"/>
  <c r="G226" i="4"/>
  <c r="I226" i="4" s="1"/>
  <c r="G225" i="4"/>
  <c r="I225" i="4" s="1"/>
  <c r="G224" i="4"/>
  <c r="I224" i="4" s="1"/>
  <c r="G223" i="4"/>
  <c r="I223" i="4" s="1"/>
  <c r="G222" i="4"/>
  <c r="I222" i="4" s="1"/>
  <c r="G221" i="4"/>
  <c r="I221" i="4" s="1"/>
  <c r="G220" i="4"/>
  <c r="I220" i="4" s="1"/>
  <c r="G219" i="4"/>
  <c r="I219" i="4" s="1"/>
  <c r="G218" i="4"/>
  <c r="I218" i="4" s="1"/>
  <c r="G217" i="4"/>
  <c r="I217" i="4" s="1"/>
  <c r="G216" i="4"/>
  <c r="I216" i="4" s="1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/>
  <c r="I209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I196" i="4" s="1"/>
  <c r="G195" i="4"/>
  <c r="I195" i="4" s="1"/>
  <c r="G194" i="4"/>
  <c r="I194" i="4" s="1"/>
  <c r="G193" i="4"/>
  <c r="I193" i="4" s="1"/>
  <c r="G192" i="4"/>
  <c r="I192" i="4" s="1"/>
  <c r="G191" i="4"/>
  <c r="I191" i="4" s="1"/>
  <c r="G190" i="4"/>
  <c r="I190" i="4" s="1"/>
  <c r="G189" i="4"/>
  <c r="I189" i="4" s="1"/>
  <c r="G188" i="4"/>
  <c r="I188" i="4" s="1"/>
  <c r="G187" i="4"/>
  <c r="I187" i="4" s="1"/>
  <c r="G186" i="4"/>
  <c r="I186" i="4" s="1"/>
  <c r="G185" i="4"/>
  <c r="I185" i="4" s="1"/>
  <c r="G184" i="4"/>
  <c r="I184" i="4" s="1"/>
  <c r="G183" i="4"/>
  <c r="I183" i="4" s="1"/>
  <c r="G182" i="4"/>
  <c r="I182" i="4" s="1"/>
  <c r="G181" i="4"/>
  <c r="I181" i="4" s="1"/>
  <c r="G180" i="4"/>
  <c r="I180" i="4" s="1"/>
  <c r="G179" i="4"/>
  <c r="I179" i="4" s="1"/>
  <c r="G178" i="4"/>
  <c r="I178" i="4" s="1"/>
  <c r="G177" i="4"/>
  <c r="I177" i="4" s="1"/>
  <c r="G176" i="4"/>
  <c r="I176" i="4" s="1"/>
  <c r="G175" i="4"/>
  <c r="I175" i="4" s="1"/>
  <c r="G174" i="4"/>
  <c r="I174" i="4" s="1"/>
  <c r="G173" i="4"/>
  <c r="I173" i="4" s="1"/>
  <c r="G172" i="4"/>
  <c r="I172" i="4" s="1"/>
  <c r="G171" i="4"/>
  <c r="I171" i="4" s="1"/>
  <c r="G170" i="4"/>
  <c r="I170" i="4" s="1"/>
  <c r="G169" i="4"/>
  <c r="I169" i="4" s="1"/>
  <c r="G168" i="4"/>
  <c r="I168" i="4" s="1"/>
  <c r="G167" i="4"/>
  <c r="I167" i="4" s="1"/>
  <c r="G166" i="4"/>
  <c r="I166" i="4" s="1"/>
  <c r="G165" i="4"/>
  <c r="I165" i="4" s="1"/>
  <c r="G164" i="4"/>
  <c r="I164" i="4" s="1"/>
  <c r="G163" i="4"/>
  <c r="I163" i="4" s="1"/>
  <c r="G162" i="4"/>
  <c r="I162" i="4" s="1"/>
  <c r="G161" i="4"/>
  <c r="I161" i="4" s="1"/>
  <c r="G160" i="4"/>
  <c r="I160" i="4" s="1"/>
  <c r="G159" i="4"/>
  <c r="I159" i="4" s="1"/>
  <c r="G158" i="4"/>
  <c r="I158" i="4" s="1"/>
  <c r="G157" i="4"/>
  <c r="I157" i="4" s="1"/>
  <c r="G156" i="4"/>
  <c r="I156" i="4" s="1"/>
  <c r="G155" i="4"/>
  <c r="I155" i="4" s="1"/>
  <c r="G154" i="4"/>
  <c r="I154" i="4" s="1"/>
  <c r="G153" i="4"/>
  <c r="I153" i="4" s="1"/>
  <c r="G152" i="4"/>
  <c r="I152" i="4" s="1"/>
  <c r="G151" i="4"/>
  <c r="I151" i="4" s="1"/>
  <c r="G150" i="4"/>
  <c r="I150" i="4" s="1"/>
  <c r="G149" i="4"/>
  <c r="I149" i="4" s="1"/>
  <c r="G148" i="4"/>
  <c r="I148" i="4" s="1"/>
  <c r="G147" i="4"/>
  <c r="I147" i="4" s="1"/>
  <c r="G146" i="4"/>
  <c r="I146" i="4" s="1"/>
  <c r="G145" i="4"/>
  <c r="I145" i="4" s="1"/>
  <c r="G144" i="4"/>
  <c r="I144" i="4" s="1"/>
  <c r="G143" i="4"/>
  <c r="I143" i="4" s="1"/>
  <c r="G142" i="4"/>
  <c r="I142" i="4" s="1"/>
  <c r="G141" i="4"/>
  <c r="I141" i="4" s="1"/>
  <c r="G140" i="4"/>
  <c r="I140" i="4" s="1"/>
  <c r="G139" i="4"/>
  <c r="I139" i="4" s="1"/>
  <c r="G138" i="4"/>
  <c r="I138" i="4" s="1"/>
  <c r="G137" i="4"/>
  <c r="I137" i="4" s="1"/>
  <c r="G136" i="4"/>
  <c r="I136" i="4" s="1"/>
  <c r="G135" i="4"/>
  <c r="I135" i="4" s="1"/>
  <c r="G134" i="4"/>
  <c r="I134" i="4" s="1"/>
  <c r="G133" i="4"/>
  <c r="I133" i="4" s="1"/>
  <c r="G132" i="4"/>
  <c r="I132" i="4" s="1"/>
  <c r="G131" i="4"/>
  <c r="I131" i="4" s="1"/>
  <c r="G130" i="4"/>
  <c r="I130" i="4" s="1"/>
  <c r="G129" i="4"/>
  <c r="I129" i="4" s="1"/>
  <c r="G128" i="4"/>
  <c r="I128" i="4" s="1"/>
  <c r="G127" i="4"/>
  <c r="I127" i="4" s="1"/>
  <c r="G126" i="4"/>
  <c r="I126" i="4" s="1"/>
  <c r="G125" i="4"/>
  <c r="I125" i="4" s="1"/>
  <c r="G124" i="4"/>
  <c r="I124" i="4" s="1"/>
  <c r="G123" i="4"/>
  <c r="I123" i="4" s="1"/>
  <c r="G122" i="4"/>
  <c r="I122" i="4" s="1"/>
  <c r="G121" i="4"/>
  <c r="I121" i="4" s="1"/>
  <c r="G120" i="4"/>
  <c r="I120" i="4" s="1"/>
  <c r="G119" i="4"/>
  <c r="I119" i="4" s="1"/>
  <c r="G118" i="4"/>
  <c r="I118" i="4" s="1"/>
  <c r="G117" i="4"/>
  <c r="I117" i="4" s="1"/>
  <c r="G116" i="4"/>
  <c r="I116" i="4" s="1"/>
  <c r="G115" i="4"/>
  <c r="I115" i="4" s="1"/>
  <c r="G114" i="4"/>
  <c r="I114" i="4" s="1"/>
  <c r="G112" i="4"/>
  <c r="I112" i="4" s="1"/>
  <c r="G111" i="4"/>
  <c r="I111" i="4" s="1"/>
  <c r="G110" i="4"/>
  <c r="I110" i="4" s="1"/>
  <c r="G109" i="4"/>
  <c r="I109" i="4" s="1"/>
  <c r="G108" i="4"/>
  <c r="I108" i="4" s="1"/>
  <c r="G105" i="4"/>
  <c r="I105" i="4" s="1"/>
  <c r="G103" i="4"/>
  <c r="I103" i="4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7" i="5" s="1"/>
  <c r="G94" i="4"/>
  <c r="I94" i="4" s="1"/>
  <c r="I88" i="4"/>
  <c r="G84" i="4"/>
  <c r="I84" i="4" s="1"/>
  <c r="G79" i="4"/>
  <c r="I79" i="4" s="1"/>
  <c r="G92" i="4"/>
  <c r="I92" i="4" s="1"/>
  <c r="G87" i="4"/>
  <c r="I87" i="4" s="1"/>
  <c r="G78" i="4"/>
  <c r="I78" i="4" s="1"/>
  <c r="G86" i="4"/>
  <c r="I86" i="4" s="1"/>
  <c r="G91" i="4"/>
  <c r="I91" i="4" s="1"/>
  <c r="G77" i="4"/>
  <c r="I77" i="4" s="1"/>
  <c r="G74" i="4"/>
  <c r="I74" i="4" s="1"/>
  <c r="G85" i="4"/>
  <c r="I85" i="4" s="1"/>
  <c r="I72" i="4"/>
  <c r="G83" i="4"/>
  <c r="I83" i="4" s="1"/>
  <c r="I93" i="4"/>
  <c r="G82" i="4"/>
  <c r="I82" i="4" s="1"/>
  <c r="G76" i="4"/>
  <c r="I76" i="4" s="1"/>
  <c r="G75" i="4"/>
  <c r="I75" i="4" s="1"/>
  <c r="G90" i="4"/>
  <c r="I90" i="4" s="1"/>
  <c r="G81" i="4"/>
  <c r="I81" i="4" s="1"/>
  <c r="I73" i="4"/>
  <c r="G80" i="4"/>
  <c r="I80" i="4" s="1"/>
  <c r="G71" i="4"/>
  <c r="I71" i="4" s="1"/>
  <c r="G70" i="4"/>
  <c r="I70" i="4" s="1"/>
  <c r="G69" i="4"/>
  <c r="I69" i="4" s="1"/>
  <c r="G68" i="4"/>
  <c r="I68" i="4" s="1"/>
  <c r="I89" i="4"/>
  <c r="G67" i="4"/>
  <c r="I67" i="4" s="1"/>
  <c r="G41" i="4"/>
  <c r="I41" i="4" s="1"/>
  <c r="G65" i="4"/>
  <c r="I65" i="4" s="1"/>
  <c r="G66" i="4"/>
  <c r="I66" i="4" s="1"/>
  <c r="G58" i="4"/>
  <c r="I58" i="4" s="1"/>
  <c r="G62" i="4"/>
  <c r="I62" i="4" s="1"/>
  <c r="G61" i="4"/>
  <c r="I61" i="4" s="1"/>
  <c r="G60" i="4"/>
  <c r="I60" i="4" s="1"/>
  <c r="G63" i="4"/>
  <c r="I63" i="4" s="1"/>
  <c r="G59" i="4"/>
  <c r="I59" i="4" s="1"/>
  <c r="G57" i="4"/>
  <c r="I57" i="4" s="1"/>
  <c r="G64" i="4"/>
  <c r="I64" i="4" s="1"/>
  <c r="G47" i="4"/>
  <c r="I47" i="4" s="1"/>
  <c r="G48" i="4"/>
  <c r="I48" i="4" s="1"/>
  <c r="G51" i="4"/>
  <c r="I51" i="4" s="1"/>
  <c r="G52" i="4"/>
  <c r="I52" i="4" s="1"/>
  <c r="I39" i="4"/>
  <c r="G38" i="4"/>
  <c r="I38" i="4" s="1"/>
  <c r="G35" i="4"/>
  <c r="I35" i="4" s="1"/>
  <c r="G37" i="4"/>
  <c r="I37" i="4" s="1"/>
  <c r="G36" i="4"/>
  <c r="I36" i="4" s="1"/>
  <c r="G34" i="4"/>
  <c r="I34" i="4" s="1"/>
  <c r="G32" i="4"/>
  <c r="I32" i="4" s="1"/>
  <c r="G30" i="4"/>
  <c r="I30" i="4" s="1"/>
  <c r="G29" i="4"/>
  <c r="I29" i="4" s="1"/>
  <c r="G28" i="4"/>
  <c r="I28" i="4" s="1"/>
  <c r="G31" i="4"/>
  <c r="I31" i="4" s="1"/>
  <c r="G33" i="4"/>
  <c r="I33" i="4" s="1"/>
  <c r="G27" i="4"/>
  <c r="I27" i="4" s="1"/>
  <c r="I26" i="4"/>
  <c r="G25" i="4"/>
  <c r="I25" i="4" s="1"/>
  <c r="G24" i="4"/>
  <c r="I24" i="4" s="1"/>
  <c r="G23" i="4"/>
  <c r="I23" i="4" s="1"/>
  <c r="G16" i="4"/>
  <c r="I16" i="4" s="1"/>
  <c r="G15" i="4"/>
  <c r="I15" i="4" s="1"/>
  <c r="G11" i="4"/>
  <c r="I11" i="4" s="1"/>
  <c r="G22" i="4"/>
  <c r="I22" i="4" s="1"/>
  <c r="G17" i="4"/>
  <c r="I17" i="4" s="1"/>
  <c r="G21" i="4"/>
  <c r="I21" i="4" s="1"/>
  <c r="G14" i="4"/>
  <c r="I14" i="4" s="1"/>
  <c r="G10" i="4"/>
  <c r="I10" i="4" s="1"/>
  <c r="G13" i="4"/>
  <c r="I13" i="4" s="1"/>
  <c r="G20" i="4"/>
  <c r="I20" i="4" s="1"/>
  <c r="G12" i="4"/>
  <c r="I12" i="4" s="1"/>
  <c r="G19" i="4"/>
  <c r="I19" i="4" s="1"/>
  <c r="G18" i="4"/>
  <c r="I18" i="4" s="1"/>
  <c r="G6" i="5" l="1"/>
  <c r="G5" i="5"/>
  <c r="G18" i="5"/>
  <c r="G8" i="5"/>
  <c r="G14" i="5"/>
  <c r="G4" i="5"/>
  <c r="G17" i="5"/>
  <c r="G3" i="5"/>
  <c r="G16" i="5"/>
  <c r="F6" i="5"/>
  <c r="D15" i="5"/>
  <c r="F5" i="5"/>
  <c r="F16" i="5"/>
  <c r="F4" i="5"/>
  <c r="F3" i="5"/>
  <c r="D3" i="5"/>
  <c r="D13" i="5"/>
  <c r="E3" i="5"/>
  <c r="E4" i="5"/>
  <c r="E5" i="5"/>
  <c r="E14" i="5"/>
  <c r="E15" i="5"/>
  <c r="E13" i="5"/>
  <c r="D5" i="5"/>
  <c r="D4" i="5"/>
  <c r="G15" i="5"/>
  <c r="I14" i="5"/>
  <c r="K13" i="5"/>
  <c r="J13" i="5"/>
  <c r="F13" i="5"/>
  <c r="L13" i="5"/>
  <c r="H13" i="5"/>
  <c r="I13" i="5"/>
  <c r="G13" i="5"/>
  <c r="M13" i="5"/>
  <c r="J15" i="5"/>
  <c r="F15" i="5"/>
  <c r="L15" i="5"/>
  <c r="H15" i="5"/>
  <c r="K15" i="5"/>
  <c r="L14" i="5"/>
  <c r="H14" i="5"/>
  <c r="D14" i="5"/>
  <c r="J14" i="5"/>
  <c r="F14" i="5"/>
  <c r="K14" i="5"/>
  <c r="M15" i="5"/>
  <c r="G9" i="5" l="1"/>
  <c r="G19" i="5"/>
  <c r="F9" i="5"/>
  <c r="F19" i="5"/>
  <c r="E19" i="5"/>
  <c r="I19" i="5"/>
  <c r="H19" i="5"/>
  <c r="K19" i="5"/>
  <c r="M19" i="5"/>
  <c r="L19" i="5"/>
  <c r="J19" i="5"/>
  <c r="E9" i="5"/>
  <c r="N4" i="5"/>
  <c r="N5" i="5"/>
  <c r="N3" i="5"/>
  <c r="D9" i="5"/>
  <c r="D19" i="5"/>
  <c r="N14" i="5"/>
  <c r="N15" i="5"/>
  <c r="N13" i="5"/>
  <c r="N19" i="5" l="1"/>
  <c r="N9" i="5"/>
  <c r="H36" i="24" l="1"/>
  <c r="J36" i="24" s="1"/>
  <c r="H24" i="24"/>
  <c r="H23" i="24"/>
  <c r="H26" i="24"/>
  <c r="H22" i="24"/>
  <c r="H27" i="24"/>
  <c r="J27" i="24"/>
  <c r="H25" i="24"/>
</calcChain>
</file>

<file path=xl/sharedStrings.xml><?xml version="1.0" encoding="utf-8"?>
<sst xmlns="http://schemas.openxmlformats.org/spreadsheetml/2006/main" count="1481" uniqueCount="392">
  <si>
    <t>Metodo de pago</t>
  </si>
  <si>
    <t>Dia</t>
  </si>
  <si>
    <t>Transferencia</t>
  </si>
  <si>
    <t>Efectivo</t>
  </si>
  <si>
    <t>Productos</t>
  </si>
  <si>
    <t>Item</t>
  </si>
  <si>
    <t>Nombre</t>
  </si>
  <si>
    <t>Precio V. Unitario</t>
  </si>
  <si>
    <t>LIBRO DE VENTAS</t>
  </si>
  <si>
    <t>Cliente</t>
  </si>
  <si>
    <t>Producto/Servicio</t>
  </si>
  <si>
    <t>Valor Unitario</t>
  </si>
  <si>
    <t>Cantidad</t>
  </si>
  <si>
    <t>Valor total</t>
  </si>
  <si>
    <t>INFORME DE VENTAS POR PRODUCTO MES A MES</t>
  </si>
  <si>
    <t>Producto</t>
  </si>
  <si>
    <t>Total</t>
  </si>
  <si>
    <t xml:space="preserve">Forma de Pago                    </t>
  </si>
  <si>
    <t>Credito</t>
  </si>
  <si>
    <t>Base de Datos (Clientes, Proveedores y Terceros</t>
  </si>
  <si>
    <t>Honorarios y Prestacion de Servicio</t>
  </si>
  <si>
    <t>Gastos por arriendos</t>
  </si>
  <si>
    <t>Gastos por seguros</t>
  </si>
  <si>
    <t>Gastos por servicios</t>
  </si>
  <si>
    <t>Gastos Legales</t>
  </si>
  <si>
    <t>Gasto de Mantenimiento y Reparaciones</t>
  </si>
  <si>
    <t>Gastos de viajes</t>
  </si>
  <si>
    <t>Otros Gastos</t>
  </si>
  <si>
    <t>Gastos</t>
  </si>
  <si>
    <t>Gastos Bancarios</t>
  </si>
  <si>
    <t>Gastos por interes</t>
  </si>
  <si>
    <t>Impuesto de Renta</t>
  </si>
  <si>
    <t>Otros impuestos</t>
  </si>
  <si>
    <t>Otros Gastos Financieros</t>
  </si>
  <si>
    <t>Articulos Inventarios</t>
  </si>
  <si>
    <t xml:space="preserve">Impresión de etiquetas </t>
  </si>
  <si>
    <t>Cliente Activación</t>
  </si>
  <si>
    <t>Cliente Feria</t>
  </si>
  <si>
    <t>Tarjeta</t>
  </si>
  <si>
    <t>semana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</si>
  <si>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</si>
  <si>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</si>
  <si>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</si>
  <si>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</si>
  <si>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</si>
  <si>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</si>
  <si>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</si>
  <si>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</si>
  <si>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</si>
  <si>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</si>
  <si>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Nicolle</t>
  </si>
  <si>
    <t>Alexandra</t>
  </si>
  <si>
    <t>Tomas</t>
  </si>
  <si>
    <t>Sthepany</t>
  </si>
  <si>
    <t>Gerson</t>
  </si>
  <si>
    <t>Keren</t>
  </si>
  <si>
    <t>Cliente lanzamiento</t>
  </si>
  <si>
    <t>Ingris G. negocios</t>
  </si>
  <si>
    <t>Evelyn Andino</t>
  </si>
  <si>
    <t>Fanys Moreno</t>
  </si>
  <si>
    <t>Emely G. negocios</t>
  </si>
  <si>
    <t>Melissa Canaca</t>
  </si>
  <si>
    <t>Fabiola Romero</t>
  </si>
  <si>
    <t>Dilcia UNAH</t>
  </si>
  <si>
    <t>Olman Alvares</t>
  </si>
  <si>
    <t>Sharon Raudales</t>
  </si>
  <si>
    <t>Lic Cesar</t>
  </si>
  <si>
    <t>David Castillo</t>
  </si>
  <si>
    <t>Hever Perdomo</t>
  </si>
  <si>
    <t>Francisco Abularach</t>
  </si>
  <si>
    <t>Dionicio Indufesa</t>
  </si>
  <si>
    <t>Obed Sanchez</t>
  </si>
  <si>
    <t xml:space="preserve">Lamber Giron </t>
  </si>
  <si>
    <t>Bryan Cruz</t>
  </si>
  <si>
    <t>Roberto Ferrera</t>
  </si>
  <si>
    <t>Ramon Cabrera</t>
  </si>
  <si>
    <t>Nelson Cabrera</t>
  </si>
  <si>
    <t>Exon Sierra</t>
  </si>
  <si>
    <t>Semana</t>
  </si>
  <si>
    <t xml:space="preserve">Pica extremo </t>
  </si>
  <si>
    <t>Pica rico</t>
  </si>
  <si>
    <t>Pica suave</t>
  </si>
  <si>
    <t>1. Cada integrante del grupo andar muestras de botes pequeños de las 3 intensidades para poder dar a degustar a los prospecto clientes</t>
  </si>
  <si>
    <t>efectivo</t>
  </si>
  <si>
    <t>sthepany</t>
  </si>
  <si>
    <t>olman alvares</t>
  </si>
  <si>
    <t>melissa canaca</t>
  </si>
  <si>
    <t>pica suave</t>
  </si>
  <si>
    <t>Vendedor</t>
  </si>
  <si>
    <t>keren</t>
  </si>
  <si>
    <t>Semana 3</t>
  </si>
  <si>
    <t>Semana 4</t>
  </si>
  <si>
    <t>Semana 6</t>
  </si>
  <si>
    <t>Semana 7</t>
  </si>
  <si>
    <t>Semana 8</t>
  </si>
  <si>
    <t>Semana 9</t>
  </si>
  <si>
    <t>Semana 10</t>
  </si>
  <si>
    <t>Semana 11</t>
  </si>
  <si>
    <t>Semana 12</t>
  </si>
  <si>
    <t>INFORME DE VENTAS POR PRODUCTO UNIDADES</t>
  </si>
  <si>
    <t>dilcia unah</t>
  </si>
  <si>
    <t>fabiola romero</t>
  </si>
  <si>
    <t>lic cesar</t>
  </si>
  <si>
    <t>francisco abularach</t>
  </si>
  <si>
    <t>dionicio indufesa</t>
  </si>
  <si>
    <t>bryan cruz</t>
  </si>
  <si>
    <t>obed sanchez</t>
  </si>
  <si>
    <t>roberto ferrera</t>
  </si>
  <si>
    <t>hever perdomo</t>
  </si>
  <si>
    <t>Total venta</t>
  </si>
  <si>
    <t xml:space="preserve">Consumidor Final </t>
  </si>
  <si>
    <t>Total Venta unidades</t>
  </si>
  <si>
    <t>tomas</t>
  </si>
  <si>
    <t>pica rico</t>
  </si>
  <si>
    <t>INFORME DE VENTAS POR VENDEDOR</t>
  </si>
  <si>
    <t>pica extremo</t>
  </si>
  <si>
    <t>SUBTOTAL</t>
  </si>
  <si>
    <t>TOTAL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</si>
  <si>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</si>
  <si>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</si>
  <si>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</si>
  <si>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</si>
  <si>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</si>
  <si>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</si>
  <si>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</si>
  <si>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</si>
  <si>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NOTA: EN LA SEMANA 3 NO SE ESTAN TOMANDO EN CUENTA LOS VENDIDOS 29 EN LANZAMIENTOS SOLO LOS INDIVIDUALES</t>
  </si>
  <si>
    <t xml:space="preserve">TOTAL LANZAMIENTO </t>
  </si>
  <si>
    <t>credito</t>
  </si>
  <si>
    <t>COMBO</t>
  </si>
  <si>
    <t xml:space="preserve">Combo </t>
  </si>
  <si>
    <t xml:space="preserve">Observaciones </t>
  </si>
  <si>
    <t>Extremo grande, suave pequeño</t>
  </si>
  <si>
    <t>Pikarico grande, suave pequeño</t>
  </si>
  <si>
    <t>los dos extremos</t>
  </si>
  <si>
    <t>extremo grande, rico pequeño</t>
  </si>
  <si>
    <t>SUB UNIDADES</t>
  </si>
  <si>
    <t>Carlos Hernandez</t>
  </si>
  <si>
    <t>PLAN DE VENTAS PIKAZO</t>
  </si>
  <si>
    <t>SEMANA 1</t>
  </si>
  <si>
    <t>Realizar degustaciones de carne acompañada con salsa PIKA-ZO.</t>
  </si>
  <si>
    <t>Explicar las características, beneficios y presentación del producto.</t>
  </si>
  <si>
    <t>Incentivar a los asistentes a seguir las redes sociales de la marca.</t>
  </si>
  <si>
    <t>Registrar posibles clientes interesados.</t>
  </si>
  <si>
    <t>Alcanzar una meta de 60 unidades vendidas durante la semana.</t>
  </si>
  <si>
    <t xml:space="preserve">Actividad </t>
  </si>
  <si>
    <t xml:space="preserve">Estrategias de venta </t>
  </si>
  <si>
    <t>SEMANA 2</t>
  </si>
  <si>
    <t>Lanzamiento del producto</t>
  </si>
  <si>
    <t>2. Promocion de un 10% al repostear un post de nuestras redes sociales</t>
  </si>
  <si>
    <t>3.Gestionar la participación en Canal 5 para promocionar el producto.</t>
  </si>
  <si>
    <t xml:space="preserve">Posicionamiento comercial </t>
  </si>
  <si>
    <t>Meta de venta</t>
  </si>
  <si>
    <t>8 chiles picantes por vendedor</t>
  </si>
  <si>
    <t>Meta total de la semana de 48 chiles picantes</t>
  </si>
  <si>
    <t>pica extremo pequeño</t>
  </si>
  <si>
    <t>pica rico pequeño</t>
  </si>
  <si>
    <t>pica suave pequeño</t>
  </si>
  <si>
    <t>suave grande, extremo pequeño</t>
  </si>
  <si>
    <t>Carlos Josiel Hernadez</t>
  </si>
  <si>
    <t>Melvin indufesa</t>
  </si>
  <si>
    <t>melvin indufesa</t>
  </si>
  <si>
    <t xml:space="preserve">pica extremo </t>
  </si>
  <si>
    <t>estefany meza</t>
  </si>
  <si>
    <t>Helen Perez</t>
  </si>
  <si>
    <t>Keily Vargas</t>
  </si>
  <si>
    <t>keily vargas</t>
  </si>
  <si>
    <t>suave grande, rico pequeño</t>
  </si>
  <si>
    <t>extremo,extremo</t>
  </si>
  <si>
    <t>rico grande, extremo</t>
  </si>
  <si>
    <t>Josue Gomez</t>
  </si>
  <si>
    <t>Alex Maradiaga</t>
  </si>
  <si>
    <t>Activacion televicentro</t>
  </si>
  <si>
    <t>Extremo pequeño</t>
  </si>
  <si>
    <t xml:space="preserve">Rico pequeño </t>
  </si>
  <si>
    <t>Combo</t>
  </si>
  <si>
    <t>Subtotal</t>
  </si>
  <si>
    <t xml:space="preserve">Canal de venta </t>
  </si>
  <si>
    <t>Directo</t>
  </si>
  <si>
    <t>Franklin Paredes</t>
  </si>
  <si>
    <t>Intermediario (Cargo expreso)</t>
  </si>
  <si>
    <t>ID</t>
  </si>
  <si>
    <t>Telefono</t>
  </si>
  <si>
    <t>Profesion</t>
  </si>
  <si>
    <t>Empresa</t>
  </si>
  <si>
    <t>Ciudad</t>
  </si>
  <si>
    <t>Compras</t>
  </si>
  <si>
    <t>Estado</t>
  </si>
  <si>
    <t>CLI-001</t>
  </si>
  <si>
    <t>Abraham Figueroa</t>
  </si>
  <si>
    <t>Docente</t>
  </si>
  <si>
    <t>UNAH</t>
  </si>
  <si>
    <t>Tegucigalpa</t>
  </si>
  <si>
    <t>Activo</t>
  </si>
  <si>
    <t>CLI-002</t>
  </si>
  <si>
    <t>Activacion Televicentro</t>
  </si>
  <si>
    <t>Estudiante</t>
  </si>
  <si>
    <t>Independiente</t>
  </si>
  <si>
    <t>CLI-003</t>
  </si>
  <si>
    <t>8959-4167</t>
  </si>
  <si>
    <t>Licenciado</t>
  </si>
  <si>
    <t>Grupo Flores</t>
  </si>
  <si>
    <t>CLI-004</t>
  </si>
  <si>
    <t xml:space="preserve">Allan Cruz </t>
  </si>
  <si>
    <t>9693-0988</t>
  </si>
  <si>
    <t>CLI-005</t>
  </si>
  <si>
    <t xml:space="preserve">Ana Suazo </t>
  </si>
  <si>
    <t>8959-4169</t>
  </si>
  <si>
    <t>Empresa Privada</t>
  </si>
  <si>
    <t>CLI-006</t>
  </si>
  <si>
    <t>Anny Nicolle</t>
  </si>
  <si>
    <t>9470 6313</t>
  </si>
  <si>
    <t>Ingeniero</t>
  </si>
  <si>
    <t>CLI-007</t>
  </si>
  <si>
    <t>Bayron Robles</t>
  </si>
  <si>
    <t>3340-7611</t>
  </si>
  <si>
    <t>CLI-008</t>
  </si>
  <si>
    <t xml:space="preserve">Brian Edgardo funes </t>
  </si>
  <si>
    <t>Claro</t>
  </si>
  <si>
    <t>CLI-009</t>
  </si>
  <si>
    <t>Bryan Christian  Cruz</t>
  </si>
  <si>
    <t>CLI-010</t>
  </si>
  <si>
    <t>Bryan Oneal</t>
  </si>
  <si>
    <t>9849-5689</t>
  </si>
  <si>
    <t>CLI-011</t>
  </si>
  <si>
    <t xml:space="preserve">Camila Rosales </t>
  </si>
  <si>
    <t>9668-7434</t>
  </si>
  <si>
    <t>Administrador</t>
  </si>
  <si>
    <t>Indufesa</t>
  </si>
  <si>
    <t>CLI-012</t>
  </si>
  <si>
    <t>Carlos Fernando</t>
  </si>
  <si>
    <t>8852-9078</t>
  </si>
  <si>
    <t>CLI-013</t>
  </si>
  <si>
    <t>Carlos Josiel Hernandez</t>
  </si>
  <si>
    <t>CLI-014</t>
  </si>
  <si>
    <t>Cesar Cruz</t>
  </si>
  <si>
    <t>CLI-015</t>
  </si>
  <si>
    <t>Cristhian Israel</t>
  </si>
  <si>
    <t>8794-6911</t>
  </si>
  <si>
    <t>Contador</t>
  </si>
  <si>
    <t>Televicentro</t>
  </si>
  <si>
    <t>CLI-016</t>
  </si>
  <si>
    <t xml:space="preserve">Cristian Padilla </t>
  </si>
  <si>
    <t>9203-9396</t>
  </si>
  <si>
    <t>CLI-017</t>
  </si>
  <si>
    <t>Daniel Isaac</t>
  </si>
  <si>
    <t>CLI-018</t>
  </si>
  <si>
    <t>Daphne Naomi Ordoñez Martinez</t>
  </si>
  <si>
    <t>9693-0986</t>
  </si>
  <si>
    <t>CLI-019</t>
  </si>
  <si>
    <t>CLI-020</t>
  </si>
  <si>
    <t>David Josue Gomez Nuñez</t>
  </si>
  <si>
    <t>9469 6313</t>
  </si>
  <si>
    <t>CLI-021</t>
  </si>
  <si>
    <t xml:space="preserve">Diana Flores </t>
  </si>
  <si>
    <t>CLI-022</t>
  </si>
  <si>
    <t>9468 6313</t>
  </si>
  <si>
    <t>CLI-023</t>
  </si>
  <si>
    <t>3292-7698</t>
  </si>
  <si>
    <t>CLI-024</t>
  </si>
  <si>
    <t>9668-7436</t>
  </si>
  <si>
    <t>CLI-025</t>
  </si>
  <si>
    <t>Erika Dayana</t>
  </si>
  <si>
    <t>8794-6910</t>
  </si>
  <si>
    <t>CLI-026</t>
  </si>
  <si>
    <t>Estefany Meza</t>
  </si>
  <si>
    <t>CLI-027</t>
  </si>
  <si>
    <t>3292-7695</t>
  </si>
  <si>
    <t>Indepediente</t>
  </si>
  <si>
    <t>CLI-028</t>
  </si>
  <si>
    <t>8794-6912</t>
  </si>
  <si>
    <t>CLI-029</t>
  </si>
  <si>
    <t>CLI-030</t>
  </si>
  <si>
    <t>Fabricio Alex</t>
  </si>
  <si>
    <t>CLI-031</t>
  </si>
  <si>
    <t>CLI-032</t>
  </si>
  <si>
    <t xml:space="preserve">Fernando Duarte </t>
  </si>
  <si>
    <t>CLI-033</t>
  </si>
  <si>
    <t>Gerente de ventas</t>
  </si>
  <si>
    <t>CLI-034</t>
  </si>
  <si>
    <t>CLI-035</t>
  </si>
  <si>
    <t>Gerson Sevilla</t>
  </si>
  <si>
    <t>3340-7612</t>
  </si>
  <si>
    <t>CLI-036</t>
  </si>
  <si>
    <t>Gladis Esther Arguijo Matute</t>
  </si>
  <si>
    <t>9668-7433</t>
  </si>
  <si>
    <t>CLI-037</t>
  </si>
  <si>
    <t>Gracia Maria</t>
  </si>
  <si>
    <t>9203-9397</t>
  </si>
  <si>
    <t>CLI-038</t>
  </si>
  <si>
    <t>CLI-039</t>
  </si>
  <si>
    <t>CLI-040</t>
  </si>
  <si>
    <t>9467 6313</t>
  </si>
  <si>
    <t>CLI-041</t>
  </si>
  <si>
    <t>Jeremy Emanuel</t>
  </si>
  <si>
    <t>9898 1307</t>
  </si>
  <si>
    <t>CLI-042</t>
  </si>
  <si>
    <t xml:space="preserve">Jose Matute </t>
  </si>
  <si>
    <t>3340-7608</t>
  </si>
  <si>
    <t>CLI-043</t>
  </si>
  <si>
    <t>Jose Roberto</t>
  </si>
  <si>
    <t>CLI-044</t>
  </si>
  <si>
    <t>9203-9395</t>
  </si>
  <si>
    <t>CLI-045</t>
  </si>
  <si>
    <t xml:space="preserve">Julio Hernandez </t>
  </si>
  <si>
    <t>9849-5688</t>
  </si>
  <si>
    <t>CLI-046</t>
  </si>
  <si>
    <t>Karen Fabiola</t>
  </si>
  <si>
    <t>9693-0984</t>
  </si>
  <si>
    <t>CLI-047</t>
  </si>
  <si>
    <t>Karen Suyapa Lopez</t>
  </si>
  <si>
    <t>CLI-048</t>
  </si>
  <si>
    <t>CLI-049</t>
  </si>
  <si>
    <t>Kelvin Daniel</t>
  </si>
  <si>
    <t>CLI-050</t>
  </si>
  <si>
    <t>Karim Josue Matute</t>
  </si>
  <si>
    <t>Emprendedor</t>
  </si>
  <si>
    <t>CLI-051</t>
  </si>
  <si>
    <t>Lamber Giron</t>
  </si>
  <si>
    <t>CLI-052</t>
  </si>
  <si>
    <t>Leonor Jaqueline</t>
  </si>
  <si>
    <t>9668-7432</t>
  </si>
  <si>
    <t>CLI-053</t>
  </si>
  <si>
    <t>Lucia Herrera</t>
  </si>
  <si>
    <t>8852-9074</t>
  </si>
  <si>
    <t>CLI-054</t>
  </si>
  <si>
    <t>Maria Steffa</t>
  </si>
  <si>
    <t>9887-2330</t>
  </si>
  <si>
    <t>CLI-055</t>
  </si>
  <si>
    <t>Marvin Antonio Medina Avila</t>
  </si>
  <si>
    <t>8959-4165</t>
  </si>
  <si>
    <t>CLI-056</t>
  </si>
  <si>
    <t xml:space="preserve">Marvin Castro </t>
  </si>
  <si>
    <t>3292-7694</t>
  </si>
  <si>
    <t>CLI-057</t>
  </si>
  <si>
    <t>9668-7435</t>
  </si>
  <si>
    <t>CLI-058</t>
  </si>
  <si>
    <t>Melissa Fernandez</t>
  </si>
  <si>
    <t>9849-5691</t>
  </si>
  <si>
    <t>CLI-059</t>
  </si>
  <si>
    <t>Melvin Indufesa</t>
  </si>
  <si>
    <t>9203-9399</t>
  </si>
  <si>
    <t>CLI-060</t>
  </si>
  <si>
    <t xml:space="preserve">Miguel Romero </t>
  </si>
  <si>
    <t>3340-7609</t>
  </si>
  <si>
    <t>CLI-061</t>
  </si>
  <si>
    <t xml:space="preserve">Monica Lagos </t>
  </si>
  <si>
    <t>9693-0987</t>
  </si>
  <si>
    <t>CLI-062</t>
  </si>
  <si>
    <t>Nancy Daniela</t>
  </si>
  <si>
    <t>8852-9076</t>
  </si>
  <si>
    <t>CLI-063</t>
  </si>
  <si>
    <t>8794-6909</t>
  </si>
  <si>
    <t>CLI-064</t>
  </si>
  <si>
    <t>9849-5692</t>
  </si>
  <si>
    <t>CLI-065</t>
  </si>
  <si>
    <t>3292-7697</t>
  </si>
  <si>
    <t>CLI-066</t>
  </si>
  <si>
    <t xml:space="preserve">Paula Amador </t>
  </si>
  <si>
    <t>3340-7610</t>
  </si>
  <si>
    <t>CLI-067</t>
  </si>
  <si>
    <t>9693-0985</t>
  </si>
  <si>
    <t>CLI-068</t>
  </si>
  <si>
    <t>Raul Antonio</t>
  </si>
  <si>
    <t>8852-9075</t>
  </si>
  <si>
    <t>CLI-069</t>
  </si>
  <si>
    <t xml:space="preserve">Ricardo Lagos </t>
  </si>
  <si>
    <t>9471 6313</t>
  </si>
  <si>
    <t>CLI-070</t>
  </si>
  <si>
    <t>3292-7696</t>
  </si>
  <si>
    <t>CLI-071</t>
  </si>
  <si>
    <t>Rosaysela Diaz</t>
  </si>
  <si>
    <t>9849-5690</t>
  </si>
  <si>
    <t>CLI-072</t>
  </si>
  <si>
    <t>8794-6913</t>
  </si>
  <si>
    <t>CLI-073</t>
  </si>
  <si>
    <t>Stefany  Guillen Caex</t>
  </si>
  <si>
    <t>CLI-074</t>
  </si>
  <si>
    <t>Stephani Daniela</t>
  </si>
  <si>
    <t>8959-4168</t>
  </si>
  <si>
    <t>CLI-075</t>
  </si>
  <si>
    <t>Suyapa Gisell</t>
  </si>
  <si>
    <t>8959-4166</t>
  </si>
  <si>
    <t>CLI-076</t>
  </si>
  <si>
    <t>Thayli Jihre</t>
  </si>
  <si>
    <t>San pedro Sula</t>
  </si>
  <si>
    <t>CLI-077</t>
  </si>
  <si>
    <t>Yolin Yamilet</t>
  </si>
  <si>
    <t>8852-9077</t>
  </si>
  <si>
    <t>CLI-078</t>
  </si>
  <si>
    <t>Jefri Johan Galo</t>
  </si>
  <si>
    <t>9203-9398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</si>
</sst>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L&quot;* #,##0.00_-;\-&quot;L&quot;* #,##0.00_-;_-&quot;L&quot;* &quot;-&quot;??_-;_-@_-"/>
    <numFmt numFmtId="164" formatCode="&quot;$&quot;\ #,##0;[Red]\-&quot;$&quot;\ #,##0"/>
    <numFmt numFmtId="165" formatCode="_-&quot;$&quot;\ * #,##0_-;\-&quot;$&quot;\ * #,##0_-;_-&quot;$&quot;\ * &quot;-&quot;_-;_-@"/>
    <numFmt numFmtId="166" formatCode="_-[$L-480A]* #,##0.00_-;\-[$L-480A]* #,##0.00_-;_-[$L-480A]* &quot;-&quot;??_-;_-@_-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sz val="11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6"/>
      <color theme="1"/>
      <name val="Calibri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827A1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7">
    <xf numFmtId="0" fontId="0" fillId="0" borderId="0" xfId="0"/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8" xfId="0" applyFont="1" applyBorder="1"/>
    <xf numFmtId="0" fontId="8" fillId="0" borderId="8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2" borderId="13" xfId="0" applyFont="1" applyFill="1" applyBorder="1" applyAlignment="1">
      <alignment horizontal="center" wrapText="1"/>
    </xf>
    <xf numFmtId="0" fontId="0" fillId="3" borderId="0" xfId="0" applyFill="1"/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0" fillId="2" borderId="20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 wrapText="1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30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10" fillId="2" borderId="2" xfId="0" applyFont="1" applyFill="1" applyBorder="1" applyAlignment="1">
      <alignment horizontal="center" wrapText="1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0" fontId="8" fillId="0" borderId="32" xfId="0" applyFont="1" applyBorder="1" applyAlignment="1">
      <alignment horizontal="left"/>
    </xf>
    <xf numFmtId="0" fontId="11" fillId="3" borderId="0" xfId="0" applyFont="1" applyFill="1" applyAlignment="1">
      <alignment horizontal="left"/>
    </xf>
    <xf numFmtId="0" fontId="8" fillId="3" borderId="0" xfId="0" applyFont="1" applyFill="1"/>
    <xf numFmtId="0" fontId="7" fillId="3" borderId="9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 applyAlignment="1">
      <alignment horizontal="center"/>
    </xf>
    <xf numFmtId="164" fontId="8" fillId="3" borderId="0" xfId="0" applyNumberFormat="1" applyFont="1" applyFill="1"/>
    <xf numFmtId="44" fontId="8" fillId="0" borderId="8" xfId="0" applyNumberFormat="1" applyFont="1" applyBorder="1"/>
    <xf numFmtId="44" fontId="8" fillId="0" borderId="17" xfId="0" applyNumberFormat="1" applyFont="1" applyBorder="1"/>
    <xf numFmtId="44" fontId="8" fillId="0" borderId="27" xfId="0" applyNumberFormat="1" applyFont="1" applyBorder="1"/>
    <xf numFmtId="44" fontId="8" fillId="0" borderId="29" xfId="0" applyNumberFormat="1" applyFont="1" applyBorder="1"/>
    <xf numFmtId="44" fontId="0" fillId="3" borderId="0" xfId="0" applyNumberFormat="1" applyFill="1"/>
    <xf numFmtId="0" fontId="15" fillId="3" borderId="0" xfId="0" applyFont="1" applyFill="1"/>
    <xf numFmtId="0" fontId="14" fillId="3" borderId="0" xfId="0" applyFont="1" applyFill="1" applyAlignment="1">
      <alignment horizontal="center"/>
    </xf>
    <xf numFmtId="44" fontId="8" fillId="3" borderId="9" xfId="0" applyNumberFormat="1" applyFont="1" applyFill="1" applyBorder="1"/>
    <xf numFmtId="165" fontId="8" fillId="3" borderId="0" xfId="0" applyNumberFormat="1" applyFont="1" applyFill="1"/>
    <xf numFmtId="0" fontId="11" fillId="0" borderId="31" xfId="0" applyFont="1" applyBorder="1" applyAlignment="1">
      <alignment horizontal="center"/>
    </xf>
    <xf numFmtId="14" fontId="9" fillId="0" borderId="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readingOrder="1"/>
    </xf>
    <xf numFmtId="0" fontId="19" fillId="0" borderId="34" xfId="0" applyFont="1" applyBorder="1" applyAlignment="1">
      <alignment horizontal="center" readingOrder="1"/>
    </xf>
    <xf numFmtId="0" fontId="19" fillId="5" borderId="34" xfId="0" applyFont="1" applyFill="1" applyBorder="1" applyAlignment="1">
      <alignment horizontal="center" readingOrder="1"/>
    </xf>
    <xf numFmtId="14" fontId="0" fillId="3" borderId="0" xfId="0" applyNumberFormat="1" applyFill="1"/>
    <xf numFmtId="14" fontId="10" fillId="2" borderId="21" xfId="0" applyNumberFormat="1" applyFont="1" applyFill="1" applyBorder="1" applyAlignment="1">
      <alignment horizontal="center"/>
    </xf>
    <xf numFmtId="14" fontId="8" fillId="0" borderId="8" xfId="0" applyNumberFormat="1" applyFont="1" applyBorder="1"/>
    <xf numFmtId="14" fontId="0" fillId="0" borderId="0" xfId="0" applyNumberFormat="1"/>
    <xf numFmtId="14" fontId="8" fillId="6" borderId="8" xfId="0" applyNumberFormat="1" applyFont="1" applyFill="1" applyBorder="1"/>
    <xf numFmtId="0" fontId="8" fillId="6" borderId="8" xfId="0" applyFont="1" applyFill="1" applyBorder="1"/>
    <xf numFmtId="44" fontId="8" fillId="6" borderId="8" xfId="0" applyNumberFormat="1" applyFont="1" applyFill="1" applyBorder="1"/>
    <xf numFmtId="44" fontId="8" fillId="6" borderId="17" xfId="0" applyNumberFormat="1" applyFont="1" applyFill="1" applyBorder="1"/>
    <xf numFmtId="166" fontId="8" fillId="0" borderId="8" xfId="0" applyNumberFormat="1" applyFont="1" applyBorder="1"/>
    <xf numFmtId="166" fontId="8" fillId="0" borderId="4" xfId="0" applyNumberFormat="1" applyFont="1" applyBorder="1"/>
    <xf numFmtId="0" fontId="8" fillId="7" borderId="22" xfId="0" applyFont="1" applyFill="1" applyBorder="1"/>
    <xf numFmtId="0" fontId="8" fillId="7" borderId="25" xfId="0" applyFont="1" applyFill="1" applyBorder="1"/>
    <xf numFmtId="14" fontId="8" fillId="7" borderId="8" xfId="0" applyNumberFormat="1" applyFont="1" applyFill="1" applyBorder="1"/>
    <xf numFmtId="0" fontId="8" fillId="7" borderId="8" xfId="0" applyFont="1" applyFill="1" applyBorder="1"/>
    <xf numFmtId="44" fontId="8" fillId="7" borderId="8" xfId="0" applyNumberFormat="1" applyFont="1" applyFill="1" applyBorder="1"/>
    <xf numFmtId="44" fontId="8" fillId="7" borderId="17" xfId="0" applyNumberFormat="1" applyFont="1" applyFill="1" applyBorder="1"/>
    <xf numFmtId="0" fontId="8" fillId="7" borderId="4" xfId="0" applyFont="1" applyFill="1" applyBorder="1"/>
    <xf numFmtId="0" fontId="8" fillId="6" borderId="25" xfId="0" applyFont="1" applyFill="1" applyBorder="1"/>
    <xf numFmtId="2" fontId="0" fillId="3" borderId="0" xfId="0" applyNumberFormat="1" applyFill="1"/>
    <xf numFmtId="2" fontId="10" fillId="2" borderId="21" xfId="0" applyNumberFormat="1" applyFont="1" applyFill="1" applyBorder="1" applyAlignment="1">
      <alignment horizontal="center" wrapText="1"/>
    </xf>
    <xf numFmtId="2" fontId="8" fillId="6" borderId="4" xfId="0" applyNumberFormat="1" applyFont="1" applyFill="1" applyBorder="1"/>
    <xf numFmtId="2" fontId="0" fillId="0" borderId="0" xfId="0" applyNumberFormat="1"/>
    <xf numFmtId="2" fontId="8" fillId="0" borderId="8" xfId="0" applyNumberFormat="1" applyFont="1" applyBorder="1"/>
    <xf numFmtId="2" fontId="8" fillId="0" borderId="36" xfId="0" applyNumberFormat="1" applyFont="1" applyBorder="1"/>
    <xf numFmtId="0" fontId="0" fillId="3" borderId="9" xfId="0" applyFill="1" applyBorder="1"/>
    <xf numFmtId="2" fontId="8" fillId="0" borderId="17" xfId="0" applyNumberFormat="1" applyFont="1" applyBorder="1"/>
    <xf numFmtId="0" fontId="10" fillId="2" borderId="27" xfId="0" applyFont="1" applyFill="1" applyBorder="1" applyAlignment="1">
      <alignment horizontal="center"/>
    </xf>
    <xf numFmtId="0" fontId="10" fillId="2" borderId="39" xfId="0" applyFont="1" applyFill="1" applyBorder="1" applyAlignment="1">
      <alignment horizontal="center"/>
    </xf>
    <xf numFmtId="0" fontId="8" fillId="0" borderId="40" xfId="0" applyFont="1" applyBorder="1" applyAlignment="1">
      <alignment horizontal="left"/>
    </xf>
    <xf numFmtId="0" fontId="0" fillId="3" borderId="37" xfId="0" applyFill="1" applyBorder="1"/>
    <xf numFmtId="0" fontId="0" fillId="3" borderId="41" xfId="0" applyFill="1" applyBorder="1"/>
    <xf numFmtId="2" fontId="8" fillId="0" borderId="42" xfId="0" applyNumberFormat="1" applyFont="1" applyBorder="1"/>
    <xf numFmtId="2" fontId="8" fillId="0" borderId="27" xfId="0" applyNumberFormat="1" applyFont="1" applyBorder="1"/>
    <xf numFmtId="2" fontId="8" fillId="0" borderId="29" xfId="0" applyNumberFormat="1" applyFont="1" applyBorder="1"/>
    <xf numFmtId="166" fontId="10" fillId="2" borderId="1" xfId="0" applyNumberFormat="1" applyFont="1" applyFill="1" applyBorder="1" applyAlignment="1">
      <alignment horizontal="center"/>
    </xf>
    <xf numFmtId="166" fontId="0" fillId="3" borderId="0" xfId="0" applyNumberFormat="1" applyFill="1"/>
    <xf numFmtId="166" fontId="8" fillId="3" borderId="0" xfId="0" applyNumberFormat="1" applyFont="1" applyFill="1"/>
    <xf numFmtId="166" fontId="0" fillId="0" borderId="0" xfId="0" applyNumberFormat="1"/>
    <xf numFmtId="2" fontId="20" fillId="8" borderId="4" xfId="0" applyNumberFormat="1" applyFont="1" applyFill="1" applyBorder="1"/>
    <xf numFmtId="2" fontId="20" fillId="8" borderId="35" xfId="0" applyNumberFormat="1" applyFont="1" applyFill="1" applyBorder="1"/>
    <xf numFmtId="2" fontId="8" fillId="0" borderId="4" xfId="0" applyNumberFormat="1" applyFont="1" applyBorder="1"/>
    <xf numFmtId="2" fontId="8" fillId="0" borderId="28" xfId="0" applyNumberFormat="1" applyFont="1" applyBorder="1"/>
    <xf numFmtId="0" fontId="8" fillId="9" borderId="22" xfId="0" applyFont="1" applyFill="1" applyBorder="1"/>
    <xf numFmtId="14" fontId="8" fillId="9" borderId="23" xfId="0" applyNumberFormat="1" applyFont="1" applyFill="1" applyBorder="1"/>
    <xf numFmtId="0" fontId="8" fillId="9" borderId="23" xfId="0" applyFont="1" applyFill="1" applyBorder="1"/>
    <xf numFmtId="44" fontId="8" fillId="9" borderId="23" xfId="0" applyNumberFormat="1" applyFont="1" applyFill="1" applyBorder="1"/>
    <xf numFmtId="2" fontId="20" fillId="10" borderId="21" xfId="0" applyNumberFormat="1" applyFont="1" applyFill="1" applyBorder="1"/>
    <xf numFmtId="44" fontId="8" fillId="9" borderId="24" xfId="0" applyNumberFormat="1" applyFont="1" applyFill="1" applyBorder="1"/>
    <xf numFmtId="0" fontId="8" fillId="9" borderId="25" xfId="0" applyFont="1" applyFill="1" applyBorder="1"/>
    <xf numFmtId="14" fontId="8" fillId="9" borderId="8" xfId="0" applyNumberFormat="1" applyFont="1" applyFill="1" applyBorder="1"/>
    <xf numFmtId="0" fontId="8" fillId="9" borderId="8" xfId="0" applyFont="1" applyFill="1" applyBorder="1"/>
    <xf numFmtId="44" fontId="8" fillId="9" borderId="8" xfId="0" applyNumberFormat="1" applyFont="1" applyFill="1" applyBorder="1"/>
    <xf numFmtId="2" fontId="20" fillId="10" borderId="4" xfId="0" applyNumberFormat="1" applyFont="1" applyFill="1" applyBorder="1"/>
    <xf numFmtId="44" fontId="8" fillId="9" borderId="17" xfId="0" applyNumberFormat="1" applyFont="1" applyFill="1" applyBorder="1"/>
    <xf numFmtId="2" fontId="17" fillId="3" borderId="0" xfId="0" applyNumberFormat="1" applyFont="1" applyFill="1"/>
    <xf numFmtId="0" fontId="0" fillId="12" borderId="0" xfId="0" applyFill="1"/>
    <xf numFmtId="0" fontId="10" fillId="2" borderId="43" xfId="0" applyFont="1" applyFill="1" applyBorder="1" applyAlignment="1">
      <alignment horizontal="center"/>
    </xf>
    <xf numFmtId="0" fontId="10" fillId="2" borderId="44" xfId="0" applyFont="1" applyFill="1" applyBorder="1" applyAlignment="1">
      <alignment horizontal="center"/>
    </xf>
    <xf numFmtId="0" fontId="8" fillId="9" borderId="46" xfId="0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7" borderId="47" xfId="0" applyFont="1" applyFill="1" applyBorder="1" applyAlignment="1">
      <alignment horizontal="center"/>
    </xf>
    <xf numFmtId="0" fontId="8" fillId="6" borderId="47" xfId="0" applyFont="1" applyFill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10" fillId="2" borderId="9" xfId="0" applyFont="1" applyFill="1" applyBorder="1" applyAlignment="1">
      <alignment horizontal="center" wrapText="1"/>
    </xf>
    <xf numFmtId="0" fontId="0" fillId="12" borderId="9" xfId="0" applyFill="1" applyBorder="1"/>
    <xf numFmtId="0" fontId="8" fillId="11" borderId="47" xfId="0" applyFont="1" applyFill="1" applyBorder="1" applyAlignment="1">
      <alignment horizontal="center"/>
    </xf>
    <xf numFmtId="0" fontId="8" fillId="0" borderId="21" xfId="0" applyFont="1" applyBorder="1" applyAlignment="1">
      <alignment horizontal="left"/>
    </xf>
    <xf numFmtId="0" fontId="10" fillId="2" borderId="48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center"/>
    </xf>
    <xf numFmtId="2" fontId="8" fillId="0" borderId="9" xfId="0" applyNumberFormat="1" applyFont="1" applyBorder="1"/>
    <xf numFmtId="2" fontId="0" fillId="0" borderId="9" xfId="0" applyNumberFormat="1" applyBorder="1"/>
    <xf numFmtId="2" fontId="0" fillId="3" borderId="9" xfId="0" applyNumberFormat="1" applyFill="1" applyBorder="1" applyAlignment="1"/>
    <xf numFmtId="0" fontId="0" fillId="0" borderId="9" xfId="0" applyBorder="1"/>
    <xf numFmtId="0" fontId="21" fillId="0" borderId="0" xfId="0" applyFont="1"/>
    <xf numFmtId="0" fontId="4" fillId="0" borderId="9" xfId="0" applyFont="1" applyBorder="1"/>
    <xf numFmtId="0" fontId="5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3" fillId="14" borderId="9" xfId="0" applyFont="1" applyFill="1" applyBorder="1"/>
    <xf numFmtId="0" fontId="23" fillId="14" borderId="9" xfId="0" applyFont="1" applyFill="1" applyBorder="1" applyAlignment="1">
      <alignment vertical="center" wrapText="1"/>
    </xf>
    <xf numFmtId="0" fontId="23" fillId="13" borderId="9" xfId="0" applyFont="1" applyFill="1" applyBorder="1"/>
    <xf numFmtId="0" fontId="17" fillId="13" borderId="9" xfId="0" applyFont="1" applyFill="1" applyBorder="1"/>
    <xf numFmtId="0" fontId="23" fillId="13" borderId="9" xfId="0" applyFont="1" applyFill="1" applyBorder="1" applyAlignment="1">
      <alignment vertical="center" wrapText="1"/>
    </xf>
    <xf numFmtId="0" fontId="8" fillId="15" borderId="25" xfId="0" applyFont="1" applyFill="1" applyBorder="1"/>
    <xf numFmtId="14" fontId="8" fillId="15" borderId="8" xfId="0" applyNumberFormat="1" applyFont="1" applyFill="1" applyBorder="1"/>
    <xf numFmtId="0" fontId="8" fillId="15" borderId="8" xfId="0" applyFont="1" applyFill="1" applyBorder="1"/>
    <xf numFmtId="44" fontId="8" fillId="15" borderId="8" xfId="0" applyNumberFormat="1" applyFont="1" applyFill="1" applyBorder="1"/>
    <xf numFmtId="2" fontId="8" fillId="15" borderId="4" xfId="0" applyNumberFormat="1" applyFont="1" applyFill="1" applyBorder="1"/>
    <xf numFmtId="44" fontId="8" fillId="15" borderId="17" xfId="0" applyNumberFormat="1" applyFont="1" applyFill="1" applyBorder="1"/>
    <xf numFmtId="0" fontId="8" fillId="15" borderId="47" xfId="0" applyFont="1" applyFill="1" applyBorder="1" applyAlignment="1">
      <alignment horizontal="center"/>
    </xf>
    <xf numFmtId="0" fontId="0" fillId="15" borderId="9" xfId="0" applyFill="1" applyBorder="1"/>
    <xf numFmtId="0" fontId="3" fillId="3" borderId="9" xfId="0" applyFont="1" applyFill="1" applyBorder="1"/>
    <xf numFmtId="0" fontId="20" fillId="5" borderId="34" xfId="0" applyFont="1" applyFill="1" applyBorder="1" applyAlignment="1">
      <alignment horizontal="center" readingOrder="1"/>
    </xf>
    <xf numFmtId="2" fontId="8" fillId="0" borderId="0" xfId="0" applyNumberFormat="1" applyFont="1" applyBorder="1"/>
    <xf numFmtId="0" fontId="10" fillId="2" borderId="48" xfId="0" applyFont="1" applyFill="1" applyBorder="1" applyAlignment="1">
      <alignment horizontal="left"/>
    </xf>
    <xf numFmtId="0" fontId="0" fillId="3" borderId="50" xfId="0" applyFill="1" applyBorder="1"/>
    <xf numFmtId="0" fontId="10" fillId="2" borderId="50" xfId="0" applyFont="1" applyFill="1" applyBorder="1" applyAlignment="1">
      <alignment horizontal="center" wrapText="1"/>
    </xf>
    <xf numFmtId="0" fontId="0" fillId="15" borderId="50" xfId="0" applyFill="1" applyBorder="1"/>
    <xf numFmtId="0" fontId="3" fillId="3" borderId="50" xfId="0" applyFont="1" applyFill="1" applyBorder="1"/>
    <xf numFmtId="0" fontId="8" fillId="11" borderId="25" xfId="0" applyFont="1" applyFill="1" applyBorder="1"/>
    <xf numFmtId="14" fontId="8" fillId="11" borderId="8" xfId="0" applyNumberFormat="1" applyFont="1" applyFill="1" applyBorder="1"/>
    <xf numFmtId="0" fontId="8" fillId="11" borderId="8" xfId="0" applyFont="1" applyFill="1" applyBorder="1"/>
    <xf numFmtId="44" fontId="8" fillId="11" borderId="8" xfId="0" applyNumberFormat="1" applyFont="1" applyFill="1" applyBorder="1"/>
    <xf numFmtId="2" fontId="8" fillId="11" borderId="4" xfId="0" applyNumberFormat="1" applyFont="1" applyFill="1" applyBorder="1"/>
    <xf numFmtId="44" fontId="8" fillId="11" borderId="17" xfId="0" applyNumberFormat="1" applyFont="1" applyFill="1" applyBorder="1"/>
    <xf numFmtId="166" fontId="8" fillId="0" borderId="17" xfId="0" applyNumberFormat="1" applyFont="1" applyBorder="1"/>
    <xf numFmtId="166" fontId="8" fillId="0" borderId="36" xfId="0" applyNumberFormat="1" applyFont="1" applyBorder="1"/>
    <xf numFmtId="166" fontId="8" fillId="0" borderId="21" xfId="0" applyNumberFormat="1" applyFont="1" applyBorder="1"/>
    <xf numFmtId="0" fontId="7" fillId="0" borderId="17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10" fillId="2" borderId="56" xfId="0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2" fillId="3" borderId="9" xfId="0" applyFont="1" applyFill="1" applyBorder="1"/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3" fillId="2" borderId="37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57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7" fillId="0" borderId="37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2" fontId="0" fillId="3" borderId="20" xfId="0" applyNumberFormat="1" applyFill="1" applyBorder="1" applyAlignment="1">
      <alignment horizontal="center"/>
    </xf>
    <xf numFmtId="2" fontId="0" fillId="3" borderId="38" xfId="0" applyNumberFormat="1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0" fontId="4" fillId="0" borderId="51" xfId="0" applyFont="1" applyBorder="1" applyAlignment="1">
      <alignment horizontal="center" wrapText="1"/>
    </xf>
    <xf numFmtId="0" fontId="4" fillId="0" borderId="52" xfId="0" applyFont="1" applyBorder="1" applyAlignment="1">
      <alignment horizontal="center" wrapText="1"/>
    </xf>
    <xf numFmtId="0" fontId="17" fillId="14" borderId="50" xfId="0" applyFont="1" applyFill="1" applyBorder="1" applyAlignment="1">
      <alignment horizontal="center"/>
    </xf>
    <xf numFmtId="0" fontId="17" fillId="14" borderId="53" xfId="0" applyFont="1" applyFill="1" applyBorder="1" applyAlignment="1">
      <alignment horizontal="center"/>
    </xf>
    <xf numFmtId="0" fontId="17" fillId="14" borderId="54" xfId="0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0" fillId="2" borderId="58" xfId="0" applyFont="1" applyFill="1" applyBorder="1" applyAlignment="1">
      <alignment horizontal="center"/>
    </xf>
    <xf numFmtId="0" fontId="10" fillId="2" borderId="59" xfId="0" applyFont="1" applyFill="1" applyBorder="1" applyAlignment="1">
      <alignment horizontal="center"/>
    </xf>
    <xf numFmtId="2" fontId="0" fillId="0" borderId="54" xfId="0" applyNumberFormat="1" applyBorder="1"/>
    <xf numFmtId="2" fontId="8" fillId="0" borderId="54" xfId="0" applyNumberFormat="1" applyFont="1" applyBorder="1"/>
    <xf numFmtId="0" fontId="10" fillId="2" borderId="6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24" fillId="16" borderId="0" xfId="1" applyFont="1" applyFill="1"/>
    <xf numFmtId="0" fontId="4" fillId="0" borderId="9" xfId="0" applyFont="1" applyBorder="1" applyAlignment="1">
      <alignment wrapText="1"/>
    </xf>
    <xf numFmtId="0" fontId="4" fillId="0" borderId="9" xfId="0" applyFont="1" applyBorder="1" applyAlignment="1"/>
  </cellXfs>
  <cellStyles count="2">
    <cellStyle name="Normal" xfId="0" builtinId="0"/>
    <cellStyle name="Normal 2" xfId="1" xr:uid="{2F5372D5-4571-438A-8443-78EDD8ACFA17}"/>
  </cellStyles>
  <dxfs count="0"/>
  <tableStyles count="0" defaultTableStyle="TableStyleMedium2" defaultPivotStyle="PivotStyleLight16"/>
  <colors>
    <mruColors>
      <color rgb="FF3827A1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27A1"/>
  </sheetPr>
  <dimension ref="A1:CD809"/>
  <sheetViews>
    <sheetView topLeftCell="B25" workbookViewId="0">
      <selection activeCell="L42" sqref="L42"/>
    </sheetView>
  </sheetViews>
  <sheetFormatPr baseColWidth="10" defaultColWidth="14.42578125" defaultRowHeight="15" customHeight="1" x14ac:dyDescent="0.25"/>
  <cols>
    <col min="1" max="1" width="5.85546875" customWidth="1"/>
    <col min="2" max="2" width="16.5703125" customWidth="1"/>
    <col min="3" max="3" width="2.5703125" customWidth="1"/>
    <col min="4" max="4" width="15" customWidth="1"/>
    <col min="5" max="5" width="3" customWidth="1"/>
    <col min="6" max="6" width="11.42578125" customWidth="1"/>
    <col min="7" max="7" width="1.7109375" customWidth="1"/>
    <col min="8" max="8" width="4.42578125" style="15" customWidth="1"/>
    <col min="9" max="9" width="39.28515625" style="15" customWidth="1"/>
    <col min="10" max="10" width="5.28515625" style="15" customWidth="1"/>
    <col min="11" max="11" width="29.85546875" style="15" bestFit="1" customWidth="1"/>
    <col min="12" max="13" width="10.7109375" style="15" customWidth="1"/>
    <col min="14" max="14" width="33.7109375" style="15" bestFit="1" customWidth="1"/>
    <col min="15" max="15" width="10.7109375" style="15" customWidth="1"/>
    <col min="16" max="16" width="35.85546875" style="15" customWidth="1"/>
    <col min="17" max="22" width="10.7109375" style="15" customWidth="1"/>
    <col min="23" max="82" width="14.42578125" style="15"/>
  </cols>
  <sheetData>
    <row r="1" spans="1:16" s="15" customFormat="1" x14ac:dyDescent="0.25">
      <c r="F1" s="16"/>
    </row>
    <row r="2" spans="1:16" s="15" customFormat="1" ht="15.75" thickBot="1" x14ac:dyDescent="0.3">
      <c r="F2" s="16"/>
    </row>
    <row r="3" spans="1:16" ht="33.75" thickBot="1" x14ac:dyDescent="0.35">
      <c r="B3" s="9" t="s">
        <v>0</v>
      </c>
      <c r="C3" s="15"/>
      <c r="D3" s="8" t="s">
        <v>39</v>
      </c>
      <c r="E3" s="15"/>
      <c r="F3" s="8" t="s">
        <v>1</v>
      </c>
      <c r="G3" s="15"/>
      <c r="I3" s="18" t="s">
        <v>19</v>
      </c>
      <c r="K3" s="18" t="s">
        <v>28</v>
      </c>
      <c r="P3" s="31"/>
    </row>
    <row r="4" spans="1:16" ht="17.25" thickBot="1" x14ac:dyDescent="0.35">
      <c r="A4" s="15"/>
      <c r="B4" s="10" t="s">
        <v>2</v>
      </c>
      <c r="C4" s="15"/>
      <c r="D4" s="2" t="s">
        <v>40</v>
      </c>
      <c r="E4" s="15"/>
      <c r="F4" s="50">
        <v>46157</v>
      </c>
      <c r="G4" s="15"/>
      <c r="I4" s="51" t="s">
        <v>50</v>
      </c>
      <c r="K4" s="25" t="s">
        <v>35</v>
      </c>
      <c r="P4" s="33"/>
    </row>
    <row r="5" spans="1:16" ht="17.25" thickBot="1" x14ac:dyDescent="0.35">
      <c r="A5" s="15"/>
      <c r="B5" s="11" t="s">
        <v>3</v>
      </c>
      <c r="C5" s="15"/>
      <c r="D5" s="3" t="s">
        <v>41</v>
      </c>
      <c r="E5" s="15"/>
      <c r="F5" s="50">
        <v>46158</v>
      </c>
      <c r="G5" s="15"/>
      <c r="I5" s="52" t="s">
        <v>51</v>
      </c>
      <c r="K5" s="24" t="s">
        <v>20</v>
      </c>
      <c r="P5" s="33"/>
    </row>
    <row r="6" spans="1:16" ht="17.25" thickBot="1" x14ac:dyDescent="0.35">
      <c r="A6" s="15"/>
      <c r="B6" s="49" t="s">
        <v>18</v>
      </c>
      <c r="C6" s="15"/>
      <c r="D6" s="2" t="s">
        <v>42</v>
      </c>
      <c r="E6" s="15"/>
      <c r="F6" s="50">
        <v>46159</v>
      </c>
      <c r="G6" s="15"/>
      <c r="I6" s="52" t="s">
        <v>52</v>
      </c>
      <c r="K6" s="24" t="s">
        <v>21</v>
      </c>
      <c r="P6" s="33"/>
    </row>
    <row r="7" spans="1:16" ht="17.25" thickBot="1" x14ac:dyDescent="0.35">
      <c r="A7" s="15"/>
      <c r="B7" s="12" t="s">
        <v>38</v>
      </c>
      <c r="C7" s="15"/>
      <c r="D7" s="3" t="s">
        <v>43</v>
      </c>
      <c r="E7" s="15"/>
      <c r="F7" s="50">
        <v>46160</v>
      </c>
      <c r="G7" s="15"/>
      <c r="I7" s="52" t="s">
        <v>53</v>
      </c>
      <c r="K7" s="24" t="s">
        <v>22</v>
      </c>
      <c r="N7" s="29"/>
      <c r="P7" s="33"/>
    </row>
    <row r="8" spans="1:16" ht="17.25" thickBot="1" x14ac:dyDescent="0.35">
      <c r="A8" s="15"/>
      <c r="B8" s="15"/>
      <c r="C8" s="15"/>
      <c r="D8" s="2" t="s">
        <v>44</v>
      </c>
      <c r="E8" s="15"/>
      <c r="F8" s="50">
        <v>46161</v>
      </c>
      <c r="G8" s="15"/>
      <c r="I8" s="52" t="s">
        <v>54</v>
      </c>
      <c r="K8" s="24" t="s">
        <v>23</v>
      </c>
      <c r="N8" s="29"/>
      <c r="P8" s="33"/>
    </row>
    <row r="9" spans="1:16" ht="17.25" thickBot="1" x14ac:dyDescent="0.35">
      <c r="A9" s="15"/>
      <c r="B9" s="15"/>
      <c r="C9" s="15"/>
      <c r="D9" s="3" t="s">
        <v>45</v>
      </c>
      <c r="E9" s="15"/>
      <c r="F9" s="50">
        <v>46162</v>
      </c>
      <c r="G9" s="15"/>
      <c r="I9" s="52" t="s">
        <v>55</v>
      </c>
      <c r="K9" s="24" t="s">
        <v>24</v>
      </c>
      <c r="N9" s="29"/>
      <c r="P9" s="33"/>
    </row>
    <row r="10" spans="1:16" ht="17.25" thickBot="1" x14ac:dyDescent="0.35">
      <c r="A10" s="15"/>
      <c r="B10" s="15"/>
      <c r="C10" s="15"/>
      <c r="D10" s="2" t="s">
        <v>46</v>
      </c>
      <c r="E10" s="15"/>
      <c r="F10" s="50">
        <v>46163</v>
      </c>
      <c r="G10" s="15"/>
      <c r="I10" s="52" t="s">
        <v>36</v>
      </c>
      <c r="K10" s="24" t="s">
        <v>25</v>
      </c>
      <c r="N10" s="29"/>
      <c r="P10" s="33"/>
    </row>
    <row r="11" spans="1:16" ht="17.25" thickBot="1" x14ac:dyDescent="0.35">
      <c r="A11" s="15"/>
      <c r="B11" s="15"/>
      <c r="C11" s="15"/>
      <c r="D11" s="3" t="s">
        <v>47</v>
      </c>
      <c r="E11" s="15"/>
      <c r="F11" s="50">
        <v>46164</v>
      </c>
      <c r="G11" s="15"/>
      <c r="I11" s="52" t="s">
        <v>37</v>
      </c>
      <c r="K11" s="24" t="s">
        <v>26</v>
      </c>
      <c r="N11" s="29"/>
      <c r="P11" s="29"/>
    </row>
    <row r="12" spans="1:16" ht="17.25" thickBot="1" x14ac:dyDescent="0.35">
      <c r="A12" s="15"/>
      <c r="B12" s="15"/>
      <c r="C12" s="15"/>
      <c r="D12" s="2" t="s">
        <v>48</v>
      </c>
      <c r="E12" s="15"/>
      <c r="F12" s="50">
        <v>46165</v>
      </c>
      <c r="G12" s="15"/>
      <c r="I12" s="52" t="s">
        <v>56</v>
      </c>
      <c r="K12" s="24" t="s">
        <v>27</v>
      </c>
      <c r="N12" s="29"/>
      <c r="P12" s="29"/>
    </row>
    <row r="13" spans="1:16" ht="17.25" thickBot="1" x14ac:dyDescent="0.35">
      <c r="A13" s="15"/>
      <c r="B13" s="15"/>
      <c r="C13" s="15"/>
      <c r="D13" s="3" t="s">
        <v>49</v>
      </c>
      <c r="E13" s="15"/>
      <c r="F13" s="50">
        <v>46166</v>
      </c>
      <c r="G13" s="15"/>
      <c r="I13" s="52" t="s">
        <v>57</v>
      </c>
      <c r="K13" s="24" t="s">
        <v>29</v>
      </c>
      <c r="N13" s="29"/>
      <c r="P13" s="29"/>
    </row>
    <row r="14" spans="1:16" ht="17.25" thickBot="1" x14ac:dyDescent="0.35">
      <c r="A14" s="15"/>
      <c r="B14" s="15"/>
      <c r="C14" s="15"/>
      <c r="D14" s="30"/>
      <c r="E14" s="15"/>
      <c r="F14" s="50">
        <v>46167</v>
      </c>
      <c r="G14" s="15"/>
      <c r="I14" s="52" t="s">
        <v>58</v>
      </c>
      <c r="K14" s="24" t="s">
        <v>30</v>
      </c>
      <c r="N14" s="29"/>
      <c r="P14" s="29"/>
    </row>
    <row r="15" spans="1:16" ht="17.25" thickBot="1" x14ac:dyDescent="0.35">
      <c r="A15" s="15"/>
      <c r="B15" s="15"/>
      <c r="C15" s="15"/>
      <c r="D15" s="30"/>
      <c r="E15" s="15"/>
      <c r="F15" s="50">
        <v>46168</v>
      </c>
      <c r="G15" s="15"/>
      <c r="I15" s="52" t="s">
        <v>59</v>
      </c>
      <c r="K15" s="24" t="s">
        <v>33</v>
      </c>
      <c r="N15" s="29"/>
      <c r="P15" s="29"/>
    </row>
    <row r="16" spans="1:16" ht="17.25" thickBot="1" x14ac:dyDescent="0.35">
      <c r="A16" s="15"/>
      <c r="B16" s="15"/>
      <c r="C16" s="15"/>
      <c r="D16" s="15"/>
      <c r="E16" s="15"/>
      <c r="F16" s="50">
        <v>46169</v>
      </c>
      <c r="G16" s="15"/>
      <c r="I16" s="52" t="s">
        <v>60</v>
      </c>
      <c r="K16" s="24" t="s">
        <v>31</v>
      </c>
      <c r="N16" s="29"/>
      <c r="P16" s="29"/>
    </row>
    <row r="17" spans="1:16" ht="17.25" thickBot="1" x14ac:dyDescent="0.35">
      <c r="A17" s="15"/>
      <c r="B17" s="15"/>
      <c r="C17" s="15"/>
      <c r="D17" s="15"/>
      <c r="E17" s="15"/>
      <c r="F17" s="50">
        <v>46170</v>
      </c>
      <c r="G17" s="15"/>
      <c r="I17" s="52" t="s">
        <v>61</v>
      </c>
      <c r="K17" s="24" t="s">
        <v>32</v>
      </c>
      <c r="N17" s="29"/>
      <c r="P17" s="29"/>
    </row>
    <row r="18" spans="1:16" ht="17.25" thickBot="1" x14ac:dyDescent="0.35">
      <c r="A18" s="15"/>
      <c r="B18" s="15"/>
      <c r="C18" s="15"/>
      <c r="D18" s="15"/>
      <c r="E18" s="15"/>
      <c r="F18" s="50">
        <v>46171</v>
      </c>
      <c r="G18" s="15"/>
      <c r="I18" s="53" t="s">
        <v>62</v>
      </c>
      <c r="K18" s="32"/>
      <c r="N18" s="29"/>
      <c r="P18" s="29"/>
    </row>
    <row r="19" spans="1:16" ht="17.25" thickBot="1" x14ac:dyDescent="0.35">
      <c r="A19" s="15"/>
      <c r="B19" s="15"/>
      <c r="C19" s="15"/>
      <c r="D19" s="15"/>
      <c r="E19" s="15"/>
      <c r="F19" s="50">
        <v>46172</v>
      </c>
      <c r="G19" s="15"/>
      <c r="I19" s="53" t="s">
        <v>63</v>
      </c>
      <c r="K19" s="29"/>
      <c r="N19" s="29"/>
      <c r="P19" s="29"/>
    </row>
    <row r="20" spans="1:16" ht="17.25" thickBot="1" x14ac:dyDescent="0.35">
      <c r="A20" s="15"/>
      <c r="B20" s="15"/>
      <c r="C20" s="15"/>
      <c r="D20" s="15"/>
      <c r="E20" s="15"/>
      <c r="F20" s="50">
        <v>46173</v>
      </c>
      <c r="G20" s="15"/>
      <c r="I20" s="53" t="s">
        <v>64</v>
      </c>
      <c r="K20" s="29"/>
      <c r="N20" s="29"/>
      <c r="P20" s="29"/>
    </row>
    <row r="21" spans="1:16" ht="15.75" customHeight="1" thickBot="1" x14ac:dyDescent="0.35">
      <c r="A21" s="15"/>
      <c r="B21" s="15"/>
      <c r="C21" s="15"/>
      <c r="D21" s="15"/>
      <c r="E21" s="15"/>
      <c r="F21" s="50">
        <v>46174</v>
      </c>
      <c r="G21" s="15"/>
      <c r="I21" s="53" t="s">
        <v>65</v>
      </c>
      <c r="K21" s="29"/>
      <c r="N21" s="29"/>
      <c r="P21" s="29"/>
    </row>
    <row r="22" spans="1:16" ht="15.75" customHeight="1" thickBot="1" x14ac:dyDescent="0.35">
      <c r="A22" s="15"/>
      <c r="B22" s="15"/>
      <c r="C22" s="15"/>
      <c r="D22" s="15"/>
      <c r="E22" s="15"/>
      <c r="F22" s="50">
        <v>46175</v>
      </c>
      <c r="G22" s="15"/>
      <c r="I22" s="53" t="s">
        <v>66</v>
      </c>
      <c r="K22" s="18" t="s">
        <v>34</v>
      </c>
      <c r="N22" s="29"/>
      <c r="P22" s="29"/>
    </row>
    <row r="23" spans="1:16" ht="15.75" customHeight="1" thickBot="1" x14ac:dyDescent="0.35">
      <c r="A23" s="15"/>
      <c r="B23" s="15"/>
      <c r="C23" s="15"/>
      <c r="D23" s="15"/>
      <c r="E23" s="15"/>
      <c r="F23" s="50">
        <v>46176</v>
      </c>
      <c r="G23" s="15"/>
      <c r="I23" s="53" t="s">
        <v>67</v>
      </c>
      <c r="K23" s="26" t="s">
        <v>79</v>
      </c>
      <c r="N23" s="29"/>
      <c r="P23" s="29"/>
    </row>
    <row r="24" spans="1:16" ht="15.75" customHeight="1" thickBot="1" x14ac:dyDescent="0.35">
      <c r="A24" s="15"/>
      <c r="B24" s="15"/>
      <c r="C24" s="15"/>
      <c r="D24" s="15"/>
      <c r="E24" s="15"/>
      <c r="F24" s="50">
        <v>46177</v>
      </c>
      <c r="G24" s="15"/>
      <c r="I24" s="53" t="s">
        <v>68</v>
      </c>
      <c r="K24" s="27" t="s">
        <v>80</v>
      </c>
      <c r="N24" s="29"/>
      <c r="P24" s="29"/>
    </row>
    <row r="25" spans="1:16" ht="15.75" customHeight="1" thickBot="1" x14ac:dyDescent="0.35">
      <c r="A25" s="15"/>
      <c r="B25" s="15"/>
      <c r="C25" s="15"/>
      <c r="D25" s="15"/>
      <c r="E25" s="15"/>
      <c r="F25" s="50">
        <v>46178</v>
      </c>
      <c r="G25" s="15"/>
      <c r="I25" s="53" t="s">
        <v>69</v>
      </c>
      <c r="K25" s="27" t="s">
        <v>81</v>
      </c>
      <c r="N25" s="29"/>
      <c r="P25" s="29"/>
    </row>
    <row r="26" spans="1:16" ht="15.75" customHeight="1" thickBot="1" x14ac:dyDescent="0.35">
      <c r="A26" s="15"/>
      <c r="B26" s="15"/>
      <c r="C26" s="15"/>
      <c r="D26" s="15"/>
      <c r="E26" s="15"/>
      <c r="F26" s="50">
        <v>46179</v>
      </c>
      <c r="G26" s="15"/>
      <c r="I26" s="53" t="s">
        <v>70</v>
      </c>
      <c r="K26" s="27"/>
      <c r="N26" s="29"/>
      <c r="P26" s="29"/>
    </row>
    <row r="27" spans="1:16" ht="15.75" customHeight="1" thickBot="1" x14ac:dyDescent="0.35">
      <c r="A27" s="15"/>
      <c r="B27" s="15"/>
      <c r="C27" s="15"/>
      <c r="D27" s="15"/>
      <c r="E27" s="15"/>
      <c r="F27" s="50">
        <v>46180</v>
      </c>
      <c r="G27" s="15"/>
      <c r="I27" s="53" t="s">
        <v>71</v>
      </c>
      <c r="K27" s="29"/>
      <c r="N27" s="29"/>
      <c r="P27" s="29"/>
    </row>
    <row r="28" spans="1:16" ht="15.75" customHeight="1" thickBot="1" x14ac:dyDescent="0.35">
      <c r="A28" s="15"/>
      <c r="B28" s="15"/>
      <c r="C28" s="15"/>
      <c r="D28" s="15"/>
      <c r="E28" s="15"/>
      <c r="F28" s="50">
        <v>46181</v>
      </c>
      <c r="G28" s="15"/>
      <c r="I28" s="53" t="s">
        <v>72</v>
      </c>
    </row>
    <row r="29" spans="1:16" ht="15.75" customHeight="1" thickBot="1" x14ac:dyDescent="0.35">
      <c r="A29" s="15"/>
      <c r="B29" s="15"/>
      <c r="C29" s="15"/>
      <c r="D29" s="15"/>
      <c r="E29" s="15"/>
      <c r="F29" s="50">
        <v>46182</v>
      </c>
      <c r="G29" s="15"/>
      <c r="I29" s="53" t="s">
        <v>73</v>
      </c>
    </row>
    <row r="30" spans="1:16" ht="15.75" customHeight="1" thickBot="1" x14ac:dyDescent="0.35">
      <c r="A30" s="15"/>
      <c r="B30" s="15"/>
      <c r="C30" s="15"/>
      <c r="D30" s="15"/>
      <c r="E30" s="15"/>
      <c r="F30" s="50">
        <v>46183</v>
      </c>
      <c r="G30" s="15"/>
      <c r="I30" s="53" t="s">
        <v>74</v>
      </c>
    </row>
    <row r="31" spans="1:16" ht="15.75" customHeight="1" thickBot="1" x14ac:dyDescent="0.35">
      <c r="A31" s="15"/>
      <c r="B31" s="15"/>
      <c r="C31" s="15"/>
      <c r="D31" s="15"/>
      <c r="E31" s="15"/>
      <c r="F31" s="50">
        <v>46184</v>
      </c>
      <c r="G31" s="15"/>
      <c r="I31" s="53" t="s">
        <v>75</v>
      </c>
    </row>
    <row r="32" spans="1:16" ht="15.75" customHeight="1" thickBot="1" x14ac:dyDescent="0.35">
      <c r="A32" s="15"/>
      <c r="B32" s="15"/>
      <c r="C32" s="15"/>
      <c r="D32" s="15"/>
      <c r="E32" s="15"/>
      <c r="F32" s="50">
        <v>46185</v>
      </c>
      <c r="G32" s="15"/>
      <c r="I32" s="53" t="s">
        <v>76</v>
      </c>
    </row>
    <row r="33" spans="1:9" ht="15.75" customHeight="1" thickBot="1" x14ac:dyDescent="0.35">
      <c r="A33" s="15"/>
      <c r="B33" s="15"/>
      <c r="C33" s="15"/>
      <c r="D33" s="15"/>
      <c r="E33" s="15"/>
      <c r="F33" s="50">
        <v>46186</v>
      </c>
      <c r="G33" s="15"/>
      <c r="I33" s="53" t="s">
        <v>77</v>
      </c>
    </row>
    <row r="34" spans="1:9" ht="15.75" customHeight="1" thickBot="1" x14ac:dyDescent="0.35">
      <c r="A34" s="15"/>
      <c r="B34" s="15"/>
      <c r="C34" s="15"/>
      <c r="D34" s="15"/>
      <c r="E34" s="15"/>
      <c r="F34" s="50">
        <v>46187</v>
      </c>
      <c r="G34" s="15"/>
      <c r="I34" s="53" t="s">
        <v>110</v>
      </c>
    </row>
    <row r="35" spans="1:9" ht="15.75" customHeight="1" thickBot="1" x14ac:dyDescent="0.35">
      <c r="A35" s="15"/>
      <c r="B35" s="15"/>
      <c r="C35" s="15"/>
      <c r="D35" s="15"/>
      <c r="E35" s="15"/>
      <c r="F35" s="50">
        <v>46188</v>
      </c>
      <c r="G35" s="15"/>
      <c r="I35" s="146" t="s">
        <v>159</v>
      </c>
    </row>
    <row r="36" spans="1:9" s="15" customFormat="1" ht="15.75" customHeight="1" thickBot="1" x14ac:dyDescent="0.35">
      <c r="F36" s="50">
        <v>46189</v>
      </c>
      <c r="I36" s="146" t="s">
        <v>160</v>
      </c>
    </row>
    <row r="37" spans="1:9" s="15" customFormat="1" ht="15.75" customHeight="1" thickBot="1" x14ac:dyDescent="0.35">
      <c r="F37" s="50">
        <v>46190</v>
      </c>
      <c r="I37" s="146" t="s">
        <v>163</v>
      </c>
    </row>
    <row r="38" spans="1:9" s="15" customFormat="1" ht="15.75" customHeight="1" thickBot="1" x14ac:dyDescent="0.35">
      <c r="F38" s="50">
        <v>46191</v>
      </c>
      <c r="I38" s="146" t="s">
        <v>164</v>
      </c>
    </row>
    <row r="39" spans="1:9" s="15" customFormat="1" ht="15.75" customHeight="1" thickBot="1" x14ac:dyDescent="0.35">
      <c r="F39" s="50">
        <v>46192</v>
      </c>
      <c r="I39" s="146" t="s">
        <v>165</v>
      </c>
    </row>
    <row r="40" spans="1:9" s="15" customFormat="1" ht="15.75" customHeight="1" thickBot="1" x14ac:dyDescent="0.35">
      <c r="F40" s="50">
        <v>46193</v>
      </c>
      <c r="I40" s="146" t="s">
        <v>170</v>
      </c>
    </row>
    <row r="41" spans="1:9" s="15" customFormat="1" ht="15.75" customHeight="1" thickBot="1" x14ac:dyDescent="0.35">
      <c r="F41" s="50">
        <v>46194</v>
      </c>
      <c r="I41" s="146" t="s">
        <v>171</v>
      </c>
    </row>
    <row r="42" spans="1:9" s="15" customFormat="1" ht="15.75" customHeight="1" thickBot="1" x14ac:dyDescent="0.35">
      <c r="F42" s="50">
        <v>46195</v>
      </c>
      <c r="I42" s="53" t="s">
        <v>172</v>
      </c>
    </row>
    <row r="43" spans="1:9" s="15" customFormat="1" ht="15.75" customHeight="1" thickBot="1" x14ac:dyDescent="0.35">
      <c r="F43" s="50">
        <v>46196</v>
      </c>
      <c r="I43" s="146" t="s">
        <v>179</v>
      </c>
    </row>
    <row r="44" spans="1:9" s="15" customFormat="1" ht="15.75" customHeight="1" thickBot="1" x14ac:dyDescent="0.35">
      <c r="F44" s="50">
        <v>46197</v>
      </c>
      <c r="I44" s="53"/>
    </row>
    <row r="45" spans="1:9" s="15" customFormat="1" ht="15.75" customHeight="1" thickBot="1" x14ac:dyDescent="0.35">
      <c r="F45" s="50">
        <v>46198</v>
      </c>
      <c r="I45" s="53"/>
    </row>
    <row r="46" spans="1:9" s="15" customFormat="1" ht="15.75" customHeight="1" thickBot="1" x14ac:dyDescent="0.35">
      <c r="F46" s="50">
        <v>46199</v>
      </c>
      <c r="I46" s="53"/>
    </row>
    <row r="47" spans="1:9" s="15" customFormat="1" ht="15.75" customHeight="1" thickBot="1" x14ac:dyDescent="0.35">
      <c r="F47" s="50">
        <v>46200</v>
      </c>
      <c r="I47" s="46"/>
    </row>
    <row r="48" spans="1:9" s="15" customFormat="1" ht="15.75" customHeight="1" thickBot="1" x14ac:dyDescent="0.35">
      <c r="F48" s="50">
        <v>46201</v>
      </c>
      <c r="I48" s="46"/>
    </row>
    <row r="49" spans="6:9" s="15" customFormat="1" ht="15.75" customHeight="1" thickBot="1" x14ac:dyDescent="0.35">
      <c r="F49" s="50">
        <v>46202</v>
      </c>
      <c r="I49" s="46"/>
    </row>
    <row r="50" spans="6:9" s="15" customFormat="1" ht="15.75" customHeight="1" thickBot="1" x14ac:dyDescent="0.35">
      <c r="F50" s="50">
        <v>46203</v>
      </c>
      <c r="I50" s="46"/>
    </row>
    <row r="51" spans="6:9" s="15" customFormat="1" ht="15.75" customHeight="1" thickBot="1" x14ac:dyDescent="0.35">
      <c r="F51" s="50">
        <v>46204</v>
      </c>
      <c r="I51" s="46"/>
    </row>
    <row r="52" spans="6:9" s="15" customFormat="1" ht="15.75" customHeight="1" thickBot="1" x14ac:dyDescent="0.35">
      <c r="F52" s="50">
        <v>46205</v>
      </c>
      <c r="I52" s="46"/>
    </row>
    <row r="53" spans="6:9" s="15" customFormat="1" ht="15.75" customHeight="1" thickBot="1" x14ac:dyDescent="0.35">
      <c r="F53" s="50">
        <v>46206</v>
      </c>
      <c r="I53" s="46"/>
    </row>
    <row r="54" spans="6:9" s="15" customFormat="1" ht="15.75" customHeight="1" thickBot="1" x14ac:dyDescent="0.35">
      <c r="F54" s="50">
        <v>46207</v>
      </c>
      <c r="I54" s="46"/>
    </row>
    <row r="55" spans="6:9" s="15" customFormat="1" ht="15.75" customHeight="1" thickBot="1" x14ac:dyDescent="0.35">
      <c r="F55" s="50">
        <v>46208</v>
      </c>
      <c r="I55" s="46"/>
    </row>
    <row r="56" spans="6:9" s="15" customFormat="1" ht="15.75" customHeight="1" thickBot="1" x14ac:dyDescent="0.35">
      <c r="F56" s="50">
        <v>46209</v>
      </c>
      <c r="I56" s="46"/>
    </row>
    <row r="57" spans="6:9" s="15" customFormat="1" ht="15.75" customHeight="1" thickBot="1" x14ac:dyDescent="0.35">
      <c r="F57" s="50">
        <v>46210</v>
      </c>
      <c r="I57" s="46"/>
    </row>
    <row r="58" spans="6:9" s="15" customFormat="1" ht="15.75" customHeight="1" thickBot="1" x14ac:dyDescent="0.35">
      <c r="F58" s="50">
        <v>46211</v>
      </c>
      <c r="I58" s="46"/>
    </row>
    <row r="59" spans="6:9" s="15" customFormat="1" ht="15.75" customHeight="1" thickBot="1" x14ac:dyDescent="0.35">
      <c r="F59" s="50">
        <v>46212</v>
      </c>
      <c r="I59" s="46"/>
    </row>
    <row r="60" spans="6:9" s="15" customFormat="1" ht="15.75" customHeight="1" thickBot="1" x14ac:dyDescent="0.35">
      <c r="F60" s="50">
        <v>46213</v>
      </c>
      <c r="I60" s="46"/>
    </row>
    <row r="61" spans="6:9" s="15" customFormat="1" ht="15.75" customHeight="1" thickBot="1" x14ac:dyDescent="0.35">
      <c r="F61" s="50">
        <v>46214</v>
      </c>
      <c r="I61" s="46"/>
    </row>
    <row r="62" spans="6:9" s="15" customFormat="1" ht="15.75" customHeight="1" thickBot="1" x14ac:dyDescent="0.35">
      <c r="F62" s="50">
        <v>46215</v>
      </c>
      <c r="I62" s="46"/>
    </row>
    <row r="63" spans="6:9" s="15" customFormat="1" ht="15.75" customHeight="1" thickBot="1" x14ac:dyDescent="0.35">
      <c r="F63" s="50">
        <v>46216</v>
      </c>
      <c r="I63" s="46"/>
    </row>
    <row r="64" spans="6:9" s="15" customFormat="1" ht="15.75" customHeight="1" thickBot="1" x14ac:dyDescent="0.35">
      <c r="F64" s="50">
        <v>46217</v>
      </c>
      <c r="I64" s="46"/>
    </row>
    <row r="65" spans="6:9" s="15" customFormat="1" ht="15.75" customHeight="1" thickBot="1" x14ac:dyDescent="0.35">
      <c r="F65" s="50">
        <v>46218</v>
      </c>
      <c r="I65" s="46"/>
    </row>
    <row r="66" spans="6:9" s="15" customFormat="1" ht="15.75" customHeight="1" thickBot="1" x14ac:dyDescent="0.35">
      <c r="F66" s="50">
        <v>46219</v>
      </c>
      <c r="I66" s="46"/>
    </row>
    <row r="67" spans="6:9" s="15" customFormat="1" ht="15.75" customHeight="1" thickBot="1" x14ac:dyDescent="0.35">
      <c r="F67" s="50">
        <v>46220</v>
      </c>
      <c r="I67" s="46"/>
    </row>
    <row r="68" spans="6:9" s="15" customFormat="1" ht="15.75" customHeight="1" thickBot="1" x14ac:dyDescent="0.35">
      <c r="F68" s="50">
        <v>46221</v>
      </c>
      <c r="I68" s="46"/>
    </row>
    <row r="69" spans="6:9" s="15" customFormat="1" ht="15.75" customHeight="1" thickBot="1" x14ac:dyDescent="0.35">
      <c r="F69" s="50">
        <v>46222</v>
      </c>
      <c r="I69" s="46"/>
    </row>
    <row r="70" spans="6:9" s="15" customFormat="1" ht="15.75" customHeight="1" thickBot="1" x14ac:dyDescent="0.35">
      <c r="F70" s="50">
        <v>46223</v>
      </c>
      <c r="I70" s="46"/>
    </row>
    <row r="71" spans="6:9" s="15" customFormat="1" ht="15.75" customHeight="1" thickBot="1" x14ac:dyDescent="0.35">
      <c r="F71" s="50">
        <v>46224</v>
      </c>
      <c r="I71" s="46"/>
    </row>
    <row r="72" spans="6:9" s="15" customFormat="1" ht="15.75" customHeight="1" thickBot="1" x14ac:dyDescent="0.35">
      <c r="F72" s="50">
        <v>46225</v>
      </c>
      <c r="I72" s="46"/>
    </row>
    <row r="73" spans="6:9" s="15" customFormat="1" ht="15.75" customHeight="1" thickBot="1" x14ac:dyDescent="0.35">
      <c r="F73" s="50">
        <v>46226</v>
      </c>
      <c r="I73" s="46"/>
    </row>
    <row r="74" spans="6:9" s="15" customFormat="1" ht="15.75" customHeight="1" thickBot="1" x14ac:dyDescent="0.35">
      <c r="F74" s="50">
        <v>46227</v>
      </c>
      <c r="I74" s="46"/>
    </row>
    <row r="75" spans="6:9" s="15" customFormat="1" ht="15.75" customHeight="1" thickBot="1" x14ac:dyDescent="0.35">
      <c r="F75" s="50">
        <v>46228</v>
      </c>
      <c r="I75" s="46"/>
    </row>
    <row r="76" spans="6:9" s="15" customFormat="1" ht="15.75" customHeight="1" thickBot="1" x14ac:dyDescent="0.35">
      <c r="F76" s="50">
        <v>46229</v>
      </c>
      <c r="I76" s="46"/>
    </row>
    <row r="77" spans="6:9" s="15" customFormat="1" ht="15.75" customHeight="1" thickBot="1" x14ac:dyDescent="0.35">
      <c r="F77" s="50">
        <v>46230</v>
      </c>
      <c r="I77" s="46"/>
    </row>
    <row r="78" spans="6:9" s="15" customFormat="1" ht="15.75" customHeight="1" thickBot="1" x14ac:dyDescent="0.35">
      <c r="F78" s="50">
        <v>46231</v>
      </c>
      <c r="I78" s="46"/>
    </row>
    <row r="79" spans="6:9" s="15" customFormat="1" ht="15.75" customHeight="1" thickBot="1" x14ac:dyDescent="0.35">
      <c r="F79" s="50">
        <v>46232</v>
      </c>
      <c r="I79" s="46"/>
    </row>
    <row r="80" spans="6:9" s="15" customFormat="1" ht="15.75" customHeight="1" thickBot="1" x14ac:dyDescent="0.35">
      <c r="F80" s="50">
        <v>46233</v>
      </c>
      <c r="I80" s="46"/>
    </row>
    <row r="81" spans="6:9" s="15" customFormat="1" ht="15.75" customHeight="1" x14ac:dyDescent="0.3">
      <c r="F81" s="50">
        <v>46234</v>
      </c>
      <c r="I81" s="46"/>
    </row>
    <row r="82" spans="6:9" s="15" customFormat="1" ht="15.75" customHeight="1" x14ac:dyDescent="0.3">
      <c r="F82" s="16"/>
      <c r="I82" s="46"/>
    </row>
    <row r="83" spans="6:9" s="15" customFormat="1" ht="15.75" customHeight="1" x14ac:dyDescent="0.3">
      <c r="F83" s="16"/>
      <c r="I83" s="46"/>
    </row>
    <row r="84" spans="6:9" s="15" customFormat="1" ht="15.75" customHeight="1" x14ac:dyDescent="0.3">
      <c r="F84" s="16"/>
      <c r="I84" s="46"/>
    </row>
    <row r="85" spans="6:9" s="15" customFormat="1" ht="15.75" customHeight="1" x14ac:dyDescent="0.3">
      <c r="F85" s="16"/>
      <c r="I85" s="46"/>
    </row>
    <row r="86" spans="6:9" s="15" customFormat="1" ht="15.75" customHeight="1" x14ac:dyDescent="0.3">
      <c r="F86" s="16"/>
      <c r="I86" s="46"/>
    </row>
    <row r="87" spans="6:9" s="15" customFormat="1" ht="15.75" customHeight="1" x14ac:dyDescent="0.3">
      <c r="F87" s="16"/>
      <c r="I87" s="46"/>
    </row>
    <row r="88" spans="6:9" s="15" customFormat="1" ht="15.75" customHeight="1" x14ac:dyDescent="0.3">
      <c r="F88" s="16"/>
      <c r="I88" s="46"/>
    </row>
    <row r="89" spans="6:9" s="15" customFormat="1" ht="15.75" customHeight="1" x14ac:dyDescent="0.3">
      <c r="F89" s="16"/>
      <c r="I89" s="46"/>
    </row>
    <row r="90" spans="6:9" s="15" customFormat="1" ht="15.75" customHeight="1" x14ac:dyDescent="0.3">
      <c r="F90" s="16"/>
      <c r="I90" s="46"/>
    </row>
    <row r="91" spans="6:9" s="15" customFormat="1" ht="15.75" customHeight="1" x14ac:dyDescent="0.3">
      <c r="F91" s="16"/>
      <c r="I91" s="46"/>
    </row>
    <row r="92" spans="6:9" s="15" customFormat="1" ht="15.75" customHeight="1" x14ac:dyDescent="0.3">
      <c r="F92" s="16"/>
      <c r="I92" s="46"/>
    </row>
    <row r="93" spans="6:9" s="15" customFormat="1" ht="15.75" customHeight="1" x14ac:dyDescent="0.3">
      <c r="F93" s="16"/>
      <c r="I93" s="46"/>
    </row>
    <row r="94" spans="6:9" s="15" customFormat="1" ht="15.75" customHeight="1" x14ac:dyDescent="0.3">
      <c r="F94" s="16"/>
      <c r="I94" s="46"/>
    </row>
    <row r="95" spans="6:9" s="15" customFormat="1" ht="15.75" customHeight="1" x14ac:dyDescent="0.3">
      <c r="F95" s="16"/>
      <c r="I95" s="46"/>
    </row>
    <row r="96" spans="6:9" s="15" customFormat="1" ht="15.75" customHeight="1" x14ac:dyDescent="0.3">
      <c r="F96" s="16"/>
      <c r="I96" s="46"/>
    </row>
    <row r="97" spans="6:9" s="15" customFormat="1" ht="15.75" customHeight="1" x14ac:dyDescent="0.3">
      <c r="F97" s="16"/>
      <c r="I97" s="46"/>
    </row>
    <row r="98" spans="6:9" s="15" customFormat="1" ht="15.75" customHeight="1" x14ac:dyDescent="0.3">
      <c r="F98" s="16"/>
      <c r="I98" s="46"/>
    </row>
    <row r="99" spans="6:9" s="15" customFormat="1" ht="15.75" customHeight="1" x14ac:dyDescent="0.3">
      <c r="F99" s="16"/>
      <c r="I99" s="46"/>
    </row>
    <row r="100" spans="6:9" s="15" customFormat="1" ht="15.75" customHeight="1" x14ac:dyDescent="0.3">
      <c r="F100" s="16"/>
      <c r="I100" s="46"/>
    </row>
    <row r="101" spans="6:9" s="15" customFormat="1" ht="15.75" customHeight="1" x14ac:dyDescent="0.3">
      <c r="F101" s="16"/>
      <c r="I101" s="46"/>
    </row>
    <row r="102" spans="6:9" s="15" customFormat="1" ht="15.75" customHeight="1" x14ac:dyDescent="0.3">
      <c r="F102" s="16"/>
      <c r="I102" s="46"/>
    </row>
    <row r="103" spans="6:9" s="15" customFormat="1" ht="15.75" customHeight="1" x14ac:dyDescent="0.25">
      <c r="F103" s="16"/>
      <c r="I103" s="45"/>
    </row>
    <row r="104" spans="6:9" s="15" customFormat="1" ht="15.75" customHeight="1" x14ac:dyDescent="0.25">
      <c r="F104" s="16"/>
      <c r="I104" s="45"/>
    </row>
    <row r="105" spans="6:9" s="15" customFormat="1" ht="15.75" customHeight="1" x14ac:dyDescent="0.25">
      <c r="F105" s="16"/>
      <c r="I105" s="45"/>
    </row>
    <row r="106" spans="6:9" s="15" customFormat="1" ht="15.75" customHeight="1" x14ac:dyDescent="0.25">
      <c r="F106" s="16"/>
    </row>
    <row r="107" spans="6:9" s="15" customFormat="1" ht="15.75" customHeight="1" x14ac:dyDescent="0.25">
      <c r="F107" s="16"/>
    </row>
    <row r="108" spans="6:9" s="15" customFormat="1" ht="15.75" customHeight="1" x14ac:dyDescent="0.25">
      <c r="F108" s="16"/>
    </row>
    <row r="109" spans="6:9" s="15" customFormat="1" ht="15.75" customHeight="1" x14ac:dyDescent="0.25">
      <c r="F109" s="16"/>
    </row>
    <row r="110" spans="6:9" s="15" customFormat="1" ht="15.75" customHeight="1" x14ac:dyDescent="0.25">
      <c r="F110" s="16"/>
    </row>
    <row r="111" spans="6:9" s="15" customFormat="1" ht="15.75" customHeight="1" x14ac:dyDescent="0.25">
      <c r="F111" s="16"/>
    </row>
    <row r="112" spans="6:9" s="15" customFormat="1" ht="15.75" customHeight="1" x14ac:dyDescent="0.25">
      <c r="F112" s="16"/>
    </row>
    <row r="113" spans="6:6" s="15" customFormat="1" ht="15.75" customHeight="1" x14ac:dyDescent="0.25">
      <c r="F113" s="16"/>
    </row>
    <row r="114" spans="6:6" s="15" customFormat="1" ht="15.75" customHeight="1" x14ac:dyDescent="0.25">
      <c r="F114" s="16"/>
    </row>
    <row r="115" spans="6:6" s="15" customFormat="1" ht="15.75" customHeight="1" x14ac:dyDescent="0.25">
      <c r="F115" s="16"/>
    </row>
    <row r="116" spans="6:6" s="15" customFormat="1" ht="15.75" customHeight="1" x14ac:dyDescent="0.25">
      <c r="F116" s="16"/>
    </row>
    <row r="117" spans="6:6" s="15" customFormat="1" ht="15.75" customHeight="1" x14ac:dyDescent="0.25">
      <c r="F117" s="16"/>
    </row>
    <row r="118" spans="6:6" s="15" customFormat="1" ht="15.75" customHeight="1" x14ac:dyDescent="0.25">
      <c r="F118" s="16"/>
    </row>
    <row r="119" spans="6:6" s="15" customFormat="1" ht="15.75" customHeight="1" x14ac:dyDescent="0.25">
      <c r="F119" s="16"/>
    </row>
    <row r="120" spans="6:6" s="15" customFormat="1" ht="15.75" customHeight="1" x14ac:dyDescent="0.25">
      <c r="F120" s="16"/>
    </row>
    <row r="121" spans="6:6" s="15" customFormat="1" ht="15.75" customHeight="1" x14ac:dyDescent="0.25">
      <c r="F121" s="16"/>
    </row>
    <row r="122" spans="6:6" s="15" customFormat="1" ht="15.75" customHeight="1" x14ac:dyDescent="0.25">
      <c r="F122" s="16"/>
    </row>
    <row r="123" spans="6:6" s="15" customFormat="1" ht="15.75" customHeight="1" x14ac:dyDescent="0.25">
      <c r="F123" s="16"/>
    </row>
    <row r="124" spans="6:6" s="15" customFormat="1" ht="15.75" customHeight="1" x14ac:dyDescent="0.25">
      <c r="F124" s="16"/>
    </row>
    <row r="125" spans="6:6" s="15" customFormat="1" ht="15.75" customHeight="1" x14ac:dyDescent="0.25">
      <c r="F125" s="16"/>
    </row>
    <row r="126" spans="6:6" s="15" customFormat="1" ht="15.75" customHeight="1" x14ac:dyDescent="0.25">
      <c r="F126" s="16"/>
    </row>
    <row r="127" spans="6:6" s="15" customFormat="1" ht="15.75" customHeight="1" x14ac:dyDescent="0.25">
      <c r="F127" s="16"/>
    </row>
    <row r="128" spans="6:6" s="15" customFormat="1" ht="15.75" customHeight="1" x14ac:dyDescent="0.25">
      <c r="F128" s="16"/>
    </row>
    <row r="129" spans="6:6" s="15" customFormat="1" ht="15.75" customHeight="1" x14ac:dyDescent="0.25">
      <c r="F129" s="16"/>
    </row>
    <row r="130" spans="6:6" s="15" customFormat="1" ht="15.75" customHeight="1" x14ac:dyDescent="0.25">
      <c r="F130" s="16"/>
    </row>
    <row r="131" spans="6:6" s="15" customFormat="1" ht="15.75" customHeight="1" x14ac:dyDescent="0.25">
      <c r="F131" s="16"/>
    </row>
    <row r="132" spans="6:6" s="15" customFormat="1" ht="15.75" customHeight="1" x14ac:dyDescent="0.25">
      <c r="F132" s="16"/>
    </row>
    <row r="133" spans="6:6" s="15" customFormat="1" ht="15.75" customHeight="1" x14ac:dyDescent="0.25">
      <c r="F133" s="16"/>
    </row>
    <row r="134" spans="6:6" s="15" customFormat="1" ht="15.75" customHeight="1" x14ac:dyDescent="0.25">
      <c r="F134" s="16"/>
    </row>
    <row r="135" spans="6:6" s="15" customFormat="1" ht="15.75" customHeight="1" x14ac:dyDescent="0.25">
      <c r="F135" s="16"/>
    </row>
    <row r="136" spans="6:6" s="15" customFormat="1" ht="15.75" customHeight="1" x14ac:dyDescent="0.25">
      <c r="F136" s="16"/>
    </row>
    <row r="137" spans="6:6" s="15" customFormat="1" ht="15.75" customHeight="1" x14ac:dyDescent="0.25">
      <c r="F137" s="16"/>
    </row>
    <row r="138" spans="6:6" s="15" customFormat="1" ht="15.75" customHeight="1" x14ac:dyDescent="0.25">
      <c r="F138" s="16"/>
    </row>
    <row r="139" spans="6:6" s="15" customFormat="1" ht="15.75" customHeight="1" x14ac:dyDescent="0.25">
      <c r="F139" s="16"/>
    </row>
    <row r="140" spans="6:6" s="15" customFormat="1" ht="15.75" customHeight="1" x14ac:dyDescent="0.25">
      <c r="F140" s="16"/>
    </row>
    <row r="141" spans="6:6" s="15" customFormat="1" ht="15.75" customHeight="1" x14ac:dyDescent="0.25">
      <c r="F141" s="16"/>
    </row>
    <row r="142" spans="6:6" s="15" customFormat="1" ht="15.75" customHeight="1" x14ac:dyDescent="0.25">
      <c r="F142" s="16"/>
    </row>
    <row r="143" spans="6:6" s="15" customFormat="1" ht="15.75" customHeight="1" x14ac:dyDescent="0.25">
      <c r="F143" s="16"/>
    </row>
    <row r="144" spans="6:6" s="15" customFormat="1" ht="15.75" customHeight="1" x14ac:dyDescent="0.25">
      <c r="F144" s="16"/>
    </row>
    <row r="145" spans="6:6" s="15" customFormat="1" ht="15.75" customHeight="1" x14ac:dyDescent="0.25">
      <c r="F145" s="16"/>
    </row>
    <row r="146" spans="6:6" s="15" customFormat="1" ht="15.75" customHeight="1" x14ac:dyDescent="0.25">
      <c r="F146" s="16"/>
    </row>
    <row r="147" spans="6:6" s="15" customFormat="1" ht="15.75" customHeight="1" x14ac:dyDescent="0.25">
      <c r="F147" s="16"/>
    </row>
    <row r="148" spans="6:6" s="15" customFormat="1" ht="15.75" customHeight="1" x14ac:dyDescent="0.25">
      <c r="F148" s="16"/>
    </row>
    <row r="149" spans="6:6" s="15" customFormat="1" ht="15.75" customHeight="1" x14ac:dyDescent="0.25">
      <c r="F149" s="16"/>
    </row>
    <row r="150" spans="6:6" s="15" customFormat="1" ht="15.75" customHeight="1" x14ac:dyDescent="0.25">
      <c r="F150" s="16"/>
    </row>
    <row r="151" spans="6:6" s="15" customFormat="1" ht="15.75" customHeight="1" x14ac:dyDescent="0.25">
      <c r="F151" s="16"/>
    </row>
    <row r="152" spans="6:6" s="15" customFormat="1" ht="15.75" customHeight="1" x14ac:dyDescent="0.25">
      <c r="F152" s="16"/>
    </row>
    <row r="153" spans="6:6" s="15" customFormat="1" ht="15.75" customHeight="1" x14ac:dyDescent="0.25">
      <c r="F153" s="16"/>
    </row>
    <row r="154" spans="6:6" s="15" customFormat="1" ht="15.75" customHeight="1" x14ac:dyDescent="0.25">
      <c r="F154" s="16"/>
    </row>
    <row r="155" spans="6:6" s="15" customFormat="1" ht="15.75" customHeight="1" x14ac:dyDescent="0.25">
      <c r="F155" s="16"/>
    </row>
    <row r="156" spans="6:6" s="15" customFormat="1" ht="15.75" customHeight="1" x14ac:dyDescent="0.25">
      <c r="F156" s="16"/>
    </row>
    <row r="157" spans="6:6" s="15" customFormat="1" ht="15.75" customHeight="1" x14ac:dyDescent="0.25">
      <c r="F157" s="16"/>
    </row>
    <row r="158" spans="6:6" s="15" customFormat="1" ht="15.75" customHeight="1" x14ac:dyDescent="0.25">
      <c r="F158" s="16"/>
    </row>
    <row r="159" spans="6:6" s="15" customFormat="1" ht="15.75" customHeight="1" x14ac:dyDescent="0.25">
      <c r="F159" s="16"/>
    </row>
    <row r="160" spans="6:6" s="15" customFormat="1" ht="15.75" customHeight="1" x14ac:dyDescent="0.25">
      <c r="F160" s="16"/>
    </row>
    <row r="161" spans="6:6" s="15" customFormat="1" ht="15.75" customHeight="1" x14ac:dyDescent="0.25">
      <c r="F161" s="16"/>
    </row>
    <row r="162" spans="6:6" s="15" customFormat="1" ht="15.75" customHeight="1" x14ac:dyDescent="0.25">
      <c r="F162" s="16"/>
    </row>
    <row r="163" spans="6:6" s="15" customFormat="1" ht="15.75" customHeight="1" x14ac:dyDescent="0.25">
      <c r="F163" s="16"/>
    </row>
    <row r="164" spans="6:6" s="15" customFormat="1" ht="15.75" customHeight="1" x14ac:dyDescent="0.25">
      <c r="F164" s="16"/>
    </row>
    <row r="165" spans="6:6" s="15" customFormat="1" ht="15.75" customHeight="1" x14ac:dyDescent="0.25">
      <c r="F165" s="16"/>
    </row>
    <row r="166" spans="6:6" s="15" customFormat="1" ht="15.75" customHeight="1" x14ac:dyDescent="0.25">
      <c r="F166" s="16"/>
    </row>
    <row r="167" spans="6:6" s="15" customFormat="1" ht="15.75" customHeight="1" x14ac:dyDescent="0.25">
      <c r="F167" s="16"/>
    </row>
    <row r="168" spans="6:6" s="15" customFormat="1" ht="15.75" customHeight="1" x14ac:dyDescent="0.25">
      <c r="F168" s="16"/>
    </row>
    <row r="169" spans="6:6" s="15" customFormat="1" ht="15.75" customHeight="1" x14ac:dyDescent="0.25">
      <c r="F169" s="16"/>
    </row>
    <row r="170" spans="6:6" s="15" customFormat="1" ht="15.75" customHeight="1" x14ac:dyDescent="0.25">
      <c r="F170" s="16"/>
    </row>
    <row r="171" spans="6:6" s="15" customFormat="1" ht="15.75" customHeight="1" x14ac:dyDescent="0.25">
      <c r="F171" s="16"/>
    </row>
    <row r="172" spans="6:6" s="15" customFormat="1" ht="15.75" customHeight="1" x14ac:dyDescent="0.25">
      <c r="F172" s="16"/>
    </row>
    <row r="173" spans="6:6" s="15" customFormat="1" ht="15.75" customHeight="1" x14ac:dyDescent="0.25">
      <c r="F173" s="16"/>
    </row>
    <row r="174" spans="6:6" s="15" customFormat="1" ht="15.75" customHeight="1" x14ac:dyDescent="0.25">
      <c r="F174" s="16"/>
    </row>
    <row r="175" spans="6:6" s="15" customFormat="1" ht="15.75" customHeight="1" x14ac:dyDescent="0.25">
      <c r="F175" s="16"/>
    </row>
    <row r="176" spans="6:6" s="15" customFormat="1" ht="15.75" customHeight="1" x14ac:dyDescent="0.25">
      <c r="F176" s="16"/>
    </row>
    <row r="177" spans="6:6" s="15" customFormat="1" ht="15.75" customHeight="1" x14ac:dyDescent="0.25">
      <c r="F177" s="16"/>
    </row>
    <row r="178" spans="6:6" s="15" customFormat="1" ht="15.75" customHeight="1" x14ac:dyDescent="0.25">
      <c r="F178" s="16"/>
    </row>
    <row r="179" spans="6:6" s="15" customFormat="1" ht="15.75" customHeight="1" x14ac:dyDescent="0.25">
      <c r="F179" s="16"/>
    </row>
    <row r="180" spans="6:6" s="15" customFormat="1" ht="15.75" customHeight="1" x14ac:dyDescent="0.25">
      <c r="F180" s="16"/>
    </row>
    <row r="181" spans="6:6" s="15" customFormat="1" ht="15.75" customHeight="1" x14ac:dyDescent="0.25">
      <c r="F181" s="16"/>
    </row>
    <row r="182" spans="6:6" s="15" customFormat="1" ht="15.75" customHeight="1" x14ac:dyDescent="0.25">
      <c r="F182" s="16"/>
    </row>
    <row r="183" spans="6:6" s="15" customFormat="1" ht="15.75" customHeight="1" x14ac:dyDescent="0.25">
      <c r="F183" s="16"/>
    </row>
    <row r="184" spans="6:6" s="15" customFormat="1" ht="15.75" customHeight="1" x14ac:dyDescent="0.25">
      <c r="F184" s="16"/>
    </row>
    <row r="185" spans="6:6" s="15" customFormat="1" ht="15.75" customHeight="1" x14ac:dyDescent="0.25">
      <c r="F185" s="16"/>
    </row>
    <row r="186" spans="6:6" s="15" customFormat="1" ht="15.75" customHeight="1" x14ac:dyDescent="0.25">
      <c r="F186" s="16"/>
    </row>
    <row r="187" spans="6:6" s="15" customFormat="1" ht="15.75" customHeight="1" x14ac:dyDescent="0.25">
      <c r="F187" s="16"/>
    </row>
    <row r="188" spans="6:6" s="15" customFormat="1" ht="15.75" customHeight="1" x14ac:dyDescent="0.25">
      <c r="F188" s="16"/>
    </row>
    <row r="189" spans="6:6" s="15" customFormat="1" ht="15.75" customHeight="1" x14ac:dyDescent="0.25">
      <c r="F189" s="16"/>
    </row>
    <row r="190" spans="6:6" s="15" customFormat="1" ht="15.75" customHeight="1" x14ac:dyDescent="0.25">
      <c r="F190" s="16"/>
    </row>
    <row r="191" spans="6:6" s="15" customFormat="1" ht="15.75" customHeight="1" x14ac:dyDescent="0.25">
      <c r="F191" s="16"/>
    </row>
    <row r="192" spans="6:6" s="15" customFormat="1" ht="15.75" customHeight="1" x14ac:dyDescent="0.25">
      <c r="F192" s="16"/>
    </row>
    <row r="193" spans="6:6" s="15" customFormat="1" ht="15.75" customHeight="1" x14ac:dyDescent="0.25">
      <c r="F193" s="16"/>
    </row>
    <row r="194" spans="6:6" s="15" customFormat="1" ht="15.75" customHeight="1" x14ac:dyDescent="0.25">
      <c r="F194" s="16"/>
    </row>
    <row r="195" spans="6:6" s="15" customFormat="1" ht="15.75" customHeight="1" x14ac:dyDescent="0.25">
      <c r="F195" s="16"/>
    </row>
    <row r="196" spans="6:6" s="15" customFormat="1" ht="15.75" customHeight="1" x14ac:dyDescent="0.25">
      <c r="F196" s="16"/>
    </row>
    <row r="197" spans="6:6" s="15" customFormat="1" ht="15.75" customHeight="1" x14ac:dyDescent="0.25">
      <c r="F197" s="16"/>
    </row>
    <row r="198" spans="6:6" s="15" customFormat="1" ht="15.75" customHeight="1" x14ac:dyDescent="0.25">
      <c r="F198" s="16"/>
    </row>
    <row r="199" spans="6:6" s="15" customFormat="1" ht="15.75" customHeight="1" x14ac:dyDescent="0.25">
      <c r="F199" s="16"/>
    </row>
    <row r="200" spans="6:6" s="15" customFormat="1" ht="15.75" customHeight="1" x14ac:dyDescent="0.25">
      <c r="F200" s="16"/>
    </row>
    <row r="201" spans="6:6" s="15" customFormat="1" ht="15.75" customHeight="1" x14ac:dyDescent="0.25">
      <c r="F201" s="16"/>
    </row>
    <row r="202" spans="6:6" s="15" customFormat="1" ht="15.75" customHeight="1" x14ac:dyDescent="0.25">
      <c r="F202" s="16"/>
    </row>
    <row r="203" spans="6:6" s="15" customFormat="1" ht="15.75" customHeight="1" x14ac:dyDescent="0.25">
      <c r="F203" s="16"/>
    </row>
    <row r="204" spans="6:6" s="15" customFormat="1" ht="15.75" customHeight="1" x14ac:dyDescent="0.25">
      <c r="F204" s="16"/>
    </row>
    <row r="205" spans="6:6" s="15" customFormat="1" ht="15.75" customHeight="1" x14ac:dyDescent="0.25">
      <c r="F205" s="16"/>
    </row>
    <row r="206" spans="6:6" s="15" customFormat="1" ht="15.75" customHeight="1" x14ac:dyDescent="0.25">
      <c r="F206" s="16"/>
    </row>
    <row r="207" spans="6:6" s="15" customFormat="1" ht="15.75" customHeight="1" x14ac:dyDescent="0.25">
      <c r="F207" s="16"/>
    </row>
    <row r="208" spans="6:6" s="15" customFormat="1" ht="15.75" customHeight="1" x14ac:dyDescent="0.25">
      <c r="F208" s="16"/>
    </row>
    <row r="209" spans="6:6" s="15" customFormat="1" ht="15.75" customHeight="1" x14ac:dyDescent="0.25">
      <c r="F209" s="16"/>
    </row>
    <row r="210" spans="6:6" s="15" customFormat="1" ht="15.75" customHeight="1" x14ac:dyDescent="0.25">
      <c r="F210" s="16"/>
    </row>
    <row r="211" spans="6:6" s="15" customFormat="1" ht="15.75" customHeight="1" x14ac:dyDescent="0.25">
      <c r="F211" s="16"/>
    </row>
    <row r="212" spans="6:6" s="15" customFormat="1" ht="15.75" customHeight="1" x14ac:dyDescent="0.25">
      <c r="F212" s="16"/>
    </row>
    <row r="213" spans="6:6" s="15" customFormat="1" ht="15.75" customHeight="1" x14ac:dyDescent="0.25">
      <c r="F213" s="16"/>
    </row>
    <row r="214" spans="6:6" s="15" customFormat="1" ht="15.75" customHeight="1" x14ac:dyDescent="0.25">
      <c r="F214" s="16"/>
    </row>
    <row r="215" spans="6:6" s="15" customFormat="1" ht="15.75" customHeight="1" x14ac:dyDescent="0.25">
      <c r="F215" s="16"/>
    </row>
    <row r="216" spans="6:6" s="15" customFormat="1" ht="15.75" customHeight="1" x14ac:dyDescent="0.25">
      <c r="F216" s="16"/>
    </row>
    <row r="217" spans="6:6" s="15" customFormat="1" ht="15.75" customHeight="1" x14ac:dyDescent="0.25">
      <c r="F217" s="16"/>
    </row>
    <row r="218" spans="6:6" s="15" customFormat="1" ht="15.75" customHeight="1" x14ac:dyDescent="0.25">
      <c r="F218" s="16"/>
    </row>
    <row r="219" spans="6:6" s="15" customFormat="1" ht="15.75" customHeight="1" x14ac:dyDescent="0.25">
      <c r="F219" s="16"/>
    </row>
    <row r="220" spans="6:6" s="15" customFormat="1" ht="15.75" customHeight="1" x14ac:dyDescent="0.25">
      <c r="F220" s="16"/>
    </row>
    <row r="221" spans="6:6" s="15" customFormat="1" ht="15.75" customHeight="1" x14ac:dyDescent="0.25">
      <c r="F221" s="16"/>
    </row>
    <row r="222" spans="6:6" s="15" customFormat="1" ht="15.75" customHeight="1" x14ac:dyDescent="0.25">
      <c r="F222" s="16"/>
    </row>
    <row r="223" spans="6:6" s="15" customFormat="1" ht="15.75" customHeight="1" x14ac:dyDescent="0.25">
      <c r="F223" s="16"/>
    </row>
    <row r="224" spans="6:6" s="15" customFormat="1" ht="15.75" customHeight="1" x14ac:dyDescent="0.25">
      <c r="F224" s="16"/>
    </row>
    <row r="225" spans="6:6" s="15" customFormat="1" ht="15.75" customHeight="1" x14ac:dyDescent="0.25">
      <c r="F225" s="16"/>
    </row>
    <row r="226" spans="6:6" s="15" customFormat="1" ht="15.75" customHeight="1" x14ac:dyDescent="0.25">
      <c r="F226" s="16"/>
    </row>
    <row r="227" spans="6:6" s="15" customFormat="1" ht="15.75" customHeight="1" x14ac:dyDescent="0.25">
      <c r="F227" s="16"/>
    </row>
    <row r="228" spans="6:6" s="15" customFormat="1" ht="15.75" customHeight="1" x14ac:dyDescent="0.25">
      <c r="F228" s="16"/>
    </row>
    <row r="229" spans="6:6" s="15" customFormat="1" ht="15.75" customHeight="1" x14ac:dyDescent="0.25">
      <c r="F229" s="16"/>
    </row>
    <row r="230" spans="6:6" s="15" customFormat="1" ht="15.75" customHeight="1" x14ac:dyDescent="0.25">
      <c r="F230" s="16"/>
    </row>
    <row r="231" spans="6:6" s="15" customFormat="1" ht="15.75" customHeight="1" x14ac:dyDescent="0.25">
      <c r="F231" s="16"/>
    </row>
    <row r="232" spans="6:6" s="15" customFormat="1" ht="15.75" customHeight="1" x14ac:dyDescent="0.25">
      <c r="F232" s="16"/>
    </row>
    <row r="233" spans="6:6" s="15" customFormat="1" ht="15.75" customHeight="1" x14ac:dyDescent="0.25">
      <c r="F233" s="16"/>
    </row>
    <row r="234" spans="6:6" s="15" customFormat="1" ht="15.75" customHeight="1" x14ac:dyDescent="0.25">
      <c r="F234" s="16"/>
    </row>
    <row r="235" spans="6:6" s="15" customFormat="1" ht="15.75" customHeight="1" x14ac:dyDescent="0.25">
      <c r="F235" s="16"/>
    </row>
    <row r="236" spans="6:6" s="15" customFormat="1" ht="15.75" customHeight="1" x14ac:dyDescent="0.25">
      <c r="F236" s="16"/>
    </row>
    <row r="237" spans="6:6" s="15" customFormat="1" ht="15.75" customHeight="1" x14ac:dyDescent="0.25">
      <c r="F237" s="16"/>
    </row>
    <row r="238" spans="6:6" s="15" customFormat="1" ht="15.75" customHeight="1" x14ac:dyDescent="0.25">
      <c r="F238" s="16"/>
    </row>
    <row r="239" spans="6:6" s="15" customFormat="1" ht="15.75" customHeight="1" x14ac:dyDescent="0.25">
      <c r="F239" s="16"/>
    </row>
    <row r="240" spans="6:6" s="15" customFormat="1" ht="15.75" customHeight="1" x14ac:dyDescent="0.25">
      <c r="F240" s="16"/>
    </row>
    <row r="241" spans="6:6" s="15" customFormat="1" ht="15.75" customHeight="1" x14ac:dyDescent="0.25">
      <c r="F241" s="16"/>
    </row>
    <row r="242" spans="6:6" s="15" customFormat="1" ht="15.75" customHeight="1" x14ac:dyDescent="0.25">
      <c r="F242" s="16"/>
    </row>
    <row r="243" spans="6:6" s="15" customFormat="1" ht="15.75" customHeight="1" x14ac:dyDescent="0.25">
      <c r="F243" s="16"/>
    </row>
    <row r="244" spans="6:6" s="15" customFormat="1" ht="15.75" customHeight="1" x14ac:dyDescent="0.25">
      <c r="F244" s="16"/>
    </row>
    <row r="245" spans="6:6" s="15" customFormat="1" ht="15.75" customHeight="1" x14ac:dyDescent="0.25">
      <c r="F245" s="16"/>
    </row>
    <row r="246" spans="6:6" s="15" customFormat="1" ht="15.75" customHeight="1" x14ac:dyDescent="0.25">
      <c r="F246" s="16"/>
    </row>
    <row r="247" spans="6:6" s="15" customFormat="1" ht="15.75" customHeight="1" x14ac:dyDescent="0.25">
      <c r="F247" s="16"/>
    </row>
    <row r="248" spans="6:6" s="15" customFormat="1" ht="15.75" customHeight="1" x14ac:dyDescent="0.25">
      <c r="F248" s="16"/>
    </row>
    <row r="249" spans="6:6" s="15" customFormat="1" ht="15.75" customHeight="1" x14ac:dyDescent="0.25">
      <c r="F249" s="16"/>
    </row>
    <row r="250" spans="6:6" s="15" customFormat="1" ht="15.75" customHeight="1" x14ac:dyDescent="0.25">
      <c r="F250" s="16"/>
    </row>
    <row r="251" spans="6:6" s="15" customFormat="1" ht="15.75" customHeight="1" x14ac:dyDescent="0.25">
      <c r="F251" s="16"/>
    </row>
    <row r="252" spans="6:6" s="15" customFormat="1" ht="15.75" customHeight="1" x14ac:dyDescent="0.25">
      <c r="F252" s="16"/>
    </row>
    <row r="253" spans="6:6" s="15" customFormat="1" ht="15.75" customHeight="1" x14ac:dyDescent="0.25">
      <c r="F253" s="16"/>
    </row>
    <row r="254" spans="6:6" s="15" customFormat="1" ht="15.75" customHeight="1" x14ac:dyDescent="0.25">
      <c r="F254" s="16"/>
    </row>
    <row r="255" spans="6:6" s="15" customFormat="1" ht="15.75" customHeight="1" x14ac:dyDescent="0.25">
      <c r="F255" s="16"/>
    </row>
    <row r="256" spans="6:6" s="15" customFormat="1" ht="15.75" customHeight="1" x14ac:dyDescent="0.25">
      <c r="F256" s="16"/>
    </row>
    <row r="257" spans="6:6" s="15" customFormat="1" ht="15.75" customHeight="1" x14ac:dyDescent="0.25">
      <c r="F257" s="16"/>
    </row>
    <row r="258" spans="6:6" s="15" customFormat="1" ht="15.75" customHeight="1" x14ac:dyDescent="0.25">
      <c r="F258" s="16"/>
    </row>
    <row r="259" spans="6:6" s="15" customFormat="1" ht="15.75" customHeight="1" x14ac:dyDescent="0.25">
      <c r="F259" s="16"/>
    </row>
    <row r="260" spans="6:6" s="15" customFormat="1" ht="15.75" customHeight="1" x14ac:dyDescent="0.25">
      <c r="F260" s="16"/>
    </row>
    <row r="261" spans="6:6" s="15" customFormat="1" ht="15.75" customHeight="1" x14ac:dyDescent="0.25">
      <c r="F261" s="16"/>
    </row>
    <row r="262" spans="6:6" s="15" customFormat="1" ht="15.75" customHeight="1" x14ac:dyDescent="0.25">
      <c r="F262" s="16"/>
    </row>
    <row r="263" spans="6:6" s="15" customFormat="1" ht="15.75" customHeight="1" x14ac:dyDescent="0.25">
      <c r="F263" s="16"/>
    </row>
    <row r="264" spans="6:6" s="15" customFormat="1" ht="15.75" customHeight="1" x14ac:dyDescent="0.25">
      <c r="F264" s="16"/>
    </row>
    <row r="265" spans="6:6" s="15" customFormat="1" ht="15.75" customHeight="1" x14ac:dyDescent="0.25">
      <c r="F265" s="16"/>
    </row>
    <row r="266" spans="6:6" s="15" customFormat="1" ht="15.75" customHeight="1" x14ac:dyDescent="0.25">
      <c r="F266" s="16"/>
    </row>
    <row r="267" spans="6:6" s="15" customFormat="1" ht="15.75" customHeight="1" x14ac:dyDescent="0.25">
      <c r="F267" s="16"/>
    </row>
    <row r="268" spans="6:6" s="15" customFormat="1" ht="15.75" customHeight="1" x14ac:dyDescent="0.25">
      <c r="F268" s="16"/>
    </row>
    <row r="269" spans="6:6" s="15" customFormat="1" ht="15.75" customHeight="1" x14ac:dyDescent="0.25">
      <c r="F269" s="16"/>
    </row>
    <row r="270" spans="6:6" s="15" customFormat="1" ht="15.75" customHeight="1" x14ac:dyDescent="0.25">
      <c r="F270" s="16"/>
    </row>
    <row r="271" spans="6:6" s="15" customFormat="1" ht="15.75" customHeight="1" x14ac:dyDescent="0.25">
      <c r="F271" s="16"/>
    </row>
    <row r="272" spans="6:6" s="15" customFormat="1" ht="15.75" customHeight="1" x14ac:dyDescent="0.25">
      <c r="F272" s="16"/>
    </row>
    <row r="273" spans="6:6" s="15" customFormat="1" ht="15.75" customHeight="1" x14ac:dyDescent="0.25">
      <c r="F273" s="16"/>
    </row>
    <row r="274" spans="6:6" s="15" customFormat="1" ht="15.75" customHeight="1" x14ac:dyDescent="0.25">
      <c r="F274" s="16"/>
    </row>
    <row r="275" spans="6:6" s="15" customFormat="1" ht="15.75" customHeight="1" x14ac:dyDescent="0.25">
      <c r="F275" s="16"/>
    </row>
    <row r="276" spans="6:6" s="15" customFormat="1" ht="15.75" customHeight="1" x14ac:dyDescent="0.25">
      <c r="F276" s="16"/>
    </row>
    <row r="277" spans="6:6" s="15" customFormat="1" ht="15.75" customHeight="1" x14ac:dyDescent="0.25">
      <c r="F277" s="16"/>
    </row>
    <row r="278" spans="6:6" s="15" customFormat="1" ht="15.75" customHeight="1" x14ac:dyDescent="0.25">
      <c r="F278" s="16"/>
    </row>
    <row r="279" spans="6:6" s="15" customFormat="1" ht="15.75" customHeight="1" x14ac:dyDescent="0.25">
      <c r="F279" s="16"/>
    </row>
    <row r="280" spans="6:6" s="15" customFormat="1" ht="15.75" customHeight="1" x14ac:dyDescent="0.25">
      <c r="F280" s="16"/>
    </row>
    <row r="281" spans="6:6" s="15" customFormat="1" ht="15.75" customHeight="1" x14ac:dyDescent="0.25">
      <c r="F281" s="16"/>
    </row>
    <row r="282" spans="6:6" s="15" customFormat="1" ht="15.75" customHeight="1" x14ac:dyDescent="0.25">
      <c r="F282" s="16"/>
    </row>
    <row r="283" spans="6:6" s="15" customFormat="1" ht="15.75" customHeight="1" x14ac:dyDescent="0.25">
      <c r="F283" s="16"/>
    </row>
    <row r="284" spans="6:6" s="15" customFormat="1" ht="15.75" customHeight="1" x14ac:dyDescent="0.25">
      <c r="F284" s="16"/>
    </row>
    <row r="285" spans="6:6" s="15" customFormat="1" ht="15.75" customHeight="1" x14ac:dyDescent="0.25">
      <c r="F285" s="16"/>
    </row>
    <row r="286" spans="6:6" s="15" customFormat="1" ht="15.75" customHeight="1" x14ac:dyDescent="0.25">
      <c r="F286" s="16"/>
    </row>
    <row r="287" spans="6:6" s="15" customFormat="1" ht="15.75" customHeight="1" x14ac:dyDescent="0.25">
      <c r="F287" s="16"/>
    </row>
    <row r="288" spans="6:6" s="15" customFormat="1" ht="15.75" customHeight="1" x14ac:dyDescent="0.25">
      <c r="F288" s="16"/>
    </row>
    <row r="289" spans="6:6" s="15" customFormat="1" ht="15.75" customHeight="1" x14ac:dyDescent="0.25">
      <c r="F289" s="16"/>
    </row>
    <row r="290" spans="6:6" s="15" customFormat="1" ht="15.75" customHeight="1" x14ac:dyDescent="0.25">
      <c r="F290" s="16"/>
    </row>
    <row r="291" spans="6:6" s="15" customFormat="1" ht="15.75" customHeight="1" x14ac:dyDescent="0.25">
      <c r="F291" s="16"/>
    </row>
    <row r="292" spans="6:6" s="15" customFormat="1" ht="15.75" customHeight="1" x14ac:dyDescent="0.25">
      <c r="F292" s="16"/>
    </row>
    <row r="293" spans="6:6" s="15" customFormat="1" ht="15.75" customHeight="1" x14ac:dyDescent="0.25">
      <c r="F293" s="16"/>
    </row>
    <row r="294" spans="6:6" s="15" customFormat="1" ht="15.75" customHeight="1" x14ac:dyDescent="0.25">
      <c r="F294" s="16"/>
    </row>
    <row r="295" spans="6:6" s="15" customFormat="1" ht="15.75" customHeight="1" x14ac:dyDescent="0.25">
      <c r="F295" s="16"/>
    </row>
    <row r="296" spans="6:6" s="15" customFormat="1" ht="15.75" customHeight="1" x14ac:dyDescent="0.25">
      <c r="F296" s="16"/>
    </row>
    <row r="297" spans="6:6" s="15" customFormat="1" ht="15.75" customHeight="1" x14ac:dyDescent="0.25">
      <c r="F297" s="16"/>
    </row>
    <row r="298" spans="6:6" s="15" customFormat="1" ht="15.75" customHeight="1" x14ac:dyDescent="0.25">
      <c r="F298" s="16"/>
    </row>
    <row r="299" spans="6:6" s="15" customFormat="1" ht="15.75" customHeight="1" x14ac:dyDescent="0.25">
      <c r="F299" s="16"/>
    </row>
    <row r="300" spans="6:6" s="15" customFormat="1" ht="15.75" customHeight="1" x14ac:dyDescent="0.25">
      <c r="F300" s="16"/>
    </row>
    <row r="301" spans="6:6" s="15" customFormat="1" ht="15.75" customHeight="1" x14ac:dyDescent="0.25">
      <c r="F301" s="16"/>
    </row>
    <row r="302" spans="6:6" s="15" customFormat="1" ht="15.75" customHeight="1" x14ac:dyDescent="0.25">
      <c r="F302" s="16"/>
    </row>
    <row r="303" spans="6:6" s="15" customFormat="1" ht="15.75" customHeight="1" x14ac:dyDescent="0.25">
      <c r="F303" s="16"/>
    </row>
    <row r="304" spans="6:6" s="15" customFormat="1" ht="15.75" customHeight="1" x14ac:dyDescent="0.25">
      <c r="F304" s="16"/>
    </row>
    <row r="305" spans="6:6" s="15" customFormat="1" ht="15.75" customHeight="1" x14ac:dyDescent="0.25">
      <c r="F305" s="16"/>
    </row>
    <row r="306" spans="6:6" s="15" customFormat="1" ht="15.75" customHeight="1" x14ac:dyDescent="0.25">
      <c r="F306" s="16"/>
    </row>
    <row r="307" spans="6:6" s="15" customFormat="1" ht="15.75" customHeight="1" x14ac:dyDescent="0.25">
      <c r="F307" s="16"/>
    </row>
    <row r="308" spans="6:6" s="15" customFormat="1" ht="15.75" customHeight="1" x14ac:dyDescent="0.25">
      <c r="F308" s="16"/>
    </row>
    <row r="309" spans="6:6" s="15" customFormat="1" ht="15.75" customHeight="1" x14ac:dyDescent="0.25">
      <c r="F309" s="16"/>
    </row>
    <row r="310" spans="6:6" s="15" customFormat="1" ht="15.75" customHeight="1" x14ac:dyDescent="0.25">
      <c r="F310" s="16"/>
    </row>
    <row r="311" spans="6:6" s="15" customFormat="1" ht="15.75" customHeight="1" x14ac:dyDescent="0.25">
      <c r="F311" s="16"/>
    </row>
    <row r="312" spans="6:6" s="15" customFormat="1" ht="15.75" customHeight="1" x14ac:dyDescent="0.25">
      <c r="F312" s="16"/>
    </row>
    <row r="313" spans="6:6" s="15" customFormat="1" ht="15.75" customHeight="1" x14ac:dyDescent="0.25">
      <c r="F313" s="16"/>
    </row>
    <row r="314" spans="6:6" s="15" customFormat="1" ht="15.75" customHeight="1" x14ac:dyDescent="0.25">
      <c r="F314" s="16"/>
    </row>
    <row r="315" spans="6:6" s="15" customFormat="1" ht="15.75" customHeight="1" x14ac:dyDescent="0.25">
      <c r="F315" s="16"/>
    </row>
    <row r="316" spans="6:6" s="15" customFormat="1" ht="15.75" customHeight="1" x14ac:dyDescent="0.25">
      <c r="F316" s="16"/>
    </row>
    <row r="317" spans="6:6" s="15" customFormat="1" ht="15.75" customHeight="1" x14ac:dyDescent="0.25">
      <c r="F317" s="16"/>
    </row>
    <row r="318" spans="6:6" s="15" customFormat="1" ht="15.75" customHeight="1" x14ac:dyDescent="0.25">
      <c r="F318" s="16"/>
    </row>
    <row r="319" spans="6:6" s="15" customFormat="1" ht="15.75" customHeight="1" x14ac:dyDescent="0.25">
      <c r="F319" s="16"/>
    </row>
    <row r="320" spans="6:6" s="15" customFormat="1" ht="15.75" customHeight="1" x14ac:dyDescent="0.25">
      <c r="F320" s="16"/>
    </row>
    <row r="321" spans="6:6" s="15" customFormat="1" ht="15.75" customHeight="1" x14ac:dyDescent="0.25">
      <c r="F321" s="16"/>
    </row>
    <row r="322" spans="6:6" s="15" customFormat="1" ht="15.75" customHeight="1" x14ac:dyDescent="0.25">
      <c r="F322" s="16"/>
    </row>
    <row r="323" spans="6:6" s="15" customFormat="1" ht="15.75" customHeight="1" x14ac:dyDescent="0.25">
      <c r="F323" s="16"/>
    </row>
    <row r="324" spans="6:6" s="15" customFormat="1" ht="15.75" customHeight="1" x14ac:dyDescent="0.25">
      <c r="F324" s="16"/>
    </row>
    <row r="325" spans="6:6" s="15" customFormat="1" ht="15.75" customHeight="1" x14ac:dyDescent="0.25">
      <c r="F325" s="16"/>
    </row>
    <row r="326" spans="6:6" s="15" customFormat="1" ht="15.75" customHeight="1" x14ac:dyDescent="0.25">
      <c r="F326" s="16"/>
    </row>
    <row r="327" spans="6:6" s="15" customFormat="1" ht="15.75" customHeight="1" x14ac:dyDescent="0.25">
      <c r="F327" s="16"/>
    </row>
    <row r="328" spans="6:6" s="15" customFormat="1" ht="15.75" customHeight="1" x14ac:dyDescent="0.25">
      <c r="F328" s="16"/>
    </row>
    <row r="329" spans="6:6" s="15" customFormat="1" ht="15.75" customHeight="1" x14ac:dyDescent="0.25">
      <c r="F329" s="16"/>
    </row>
    <row r="330" spans="6:6" s="15" customFormat="1" ht="15.75" customHeight="1" x14ac:dyDescent="0.25">
      <c r="F330" s="16"/>
    </row>
    <row r="331" spans="6:6" s="15" customFormat="1" ht="15.75" customHeight="1" x14ac:dyDescent="0.25">
      <c r="F331" s="16"/>
    </row>
    <row r="332" spans="6:6" s="15" customFormat="1" ht="15.75" customHeight="1" x14ac:dyDescent="0.25">
      <c r="F332" s="16"/>
    </row>
    <row r="333" spans="6:6" s="15" customFormat="1" ht="15.75" customHeight="1" x14ac:dyDescent="0.25">
      <c r="F333" s="16"/>
    </row>
    <row r="334" spans="6:6" s="15" customFormat="1" ht="15.75" customHeight="1" x14ac:dyDescent="0.25">
      <c r="F334" s="16"/>
    </row>
    <row r="335" spans="6:6" s="15" customFormat="1" ht="15.75" customHeight="1" x14ac:dyDescent="0.25">
      <c r="F335" s="16"/>
    </row>
    <row r="336" spans="6:6" s="15" customFormat="1" ht="15.75" customHeight="1" x14ac:dyDescent="0.25">
      <c r="F336" s="16"/>
    </row>
    <row r="337" spans="6:6" s="15" customFormat="1" ht="15.75" customHeight="1" x14ac:dyDescent="0.25">
      <c r="F337" s="16"/>
    </row>
    <row r="338" spans="6:6" s="15" customFormat="1" ht="15.75" customHeight="1" x14ac:dyDescent="0.25">
      <c r="F338" s="16"/>
    </row>
    <row r="339" spans="6:6" s="15" customFormat="1" ht="15.75" customHeight="1" x14ac:dyDescent="0.25">
      <c r="F339" s="16"/>
    </row>
    <row r="340" spans="6:6" s="15" customFormat="1" ht="15.75" customHeight="1" x14ac:dyDescent="0.25">
      <c r="F340" s="16"/>
    </row>
    <row r="341" spans="6:6" s="15" customFormat="1" ht="15.75" customHeight="1" x14ac:dyDescent="0.25">
      <c r="F341" s="16"/>
    </row>
    <row r="342" spans="6:6" s="15" customFormat="1" ht="15.75" customHeight="1" x14ac:dyDescent="0.25">
      <c r="F342" s="16"/>
    </row>
    <row r="343" spans="6:6" s="15" customFormat="1" ht="15.75" customHeight="1" x14ac:dyDescent="0.25">
      <c r="F343" s="16"/>
    </row>
    <row r="344" spans="6:6" s="15" customFormat="1" ht="15.75" customHeight="1" x14ac:dyDescent="0.25">
      <c r="F344" s="16"/>
    </row>
    <row r="345" spans="6:6" s="15" customFormat="1" ht="15.75" customHeight="1" x14ac:dyDescent="0.25">
      <c r="F345" s="16"/>
    </row>
    <row r="346" spans="6:6" s="15" customFormat="1" ht="15.75" customHeight="1" x14ac:dyDescent="0.25">
      <c r="F346" s="16"/>
    </row>
    <row r="347" spans="6:6" s="15" customFormat="1" ht="15.75" customHeight="1" x14ac:dyDescent="0.25">
      <c r="F347" s="16"/>
    </row>
    <row r="348" spans="6:6" s="15" customFormat="1" ht="15.75" customHeight="1" x14ac:dyDescent="0.25">
      <c r="F348" s="16"/>
    </row>
    <row r="349" spans="6:6" s="15" customFormat="1" ht="15.75" customHeight="1" x14ac:dyDescent="0.25">
      <c r="F349" s="16"/>
    </row>
    <row r="350" spans="6:6" s="15" customFormat="1" ht="15.75" customHeight="1" x14ac:dyDescent="0.25">
      <c r="F350" s="16"/>
    </row>
    <row r="351" spans="6:6" s="15" customFormat="1" ht="15.75" customHeight="1" x14ac:dyDescent="0.25">
      <c r="F351" s="16"/>
    </row>
    <row r="352" spans="6:6" s="15" customFormat="1" ht="15.75" customHeight="1" x14ac:dyDescent="0.25">
      <c r="F352" s="16"/>
    </row>
    <row r="353" spans="6:6" s="15" customFormat="1" ht="15.75" customHeight="1" x14ac:dyDescent="0.25">
      <c r="F353" s="16"/>
    </row>
    <row r="354" spans="6:6" s="15" customFormat="1" ht="15.75" customHeight="1" x14ac:dyDescent="0.25">
      <c r="F354" s="16"/>
    </row>
    <row r="355" spans="6:6" s="15" customFormat="1" ht="15.75" customHeight="1" x14ac:dyDescent="0.25">
      <c r="F355" s="16"/>
    </row>
    <row r="356" spans="6:6" s="15" customFormat="1" ht="15.75" customHeight="1" x14ac:dyDescent="0.25">
      <c r="F356" s="16"/>
    </row>
    <row r="357" spans="6:6" s="15" customFormat="1" ht="15.75" customHeight="1" x14ac:dyDescent="0.25">
      <c r="F357" s="16"/>
    </row>
    <row r="358" spans="6:6" s="15" customFormat="1" ht="15.75" customHeight="1" x14ac:dyDescent="0.25">
      <c r="F358" s="16"/>
    </row>
    <row r="359" spans="6:6" s="15" customFormat="1" ht="15.75" customHeight="1" x14ac:dyDescent="0.25">
      <c r="F359" s="16"/>
    </row>
    <row r="360" spans="6:6" s="15" customFormat="1" ht="15.75" customHeight="1" x14ac:dyDescent="0.25">
      <c r="F360" s="16"/>
    </row>
    <row r="361" spans="6:6" s="15" customFormat="1" ht="15.75" customHeight="1" x14ac:dyDescent="0.25">
      <c r="F361" s="16"/>
    </row>
    <row r="362" spans="6:6" s="15" customFormat="1" ht="15.75" customHeight="1" x14ac:dyDescent="0.25">
      <c r="F362" s="16"/>
    </row>
    <row r="363" spans="6:6" s="15" customFormat="1" ht="15.75" customHeight="1" x14ac:dyDescent="0.25">
      <c r="F363" s="16"/>
    </row>
    <row r="364" spans="6:6" s="15" customFormat="1" ht="15.75" customHeight="1" x14ac:dyDescent="0.25">
      <c r="F364" s="16"/>
    </row>
    <row r="365" spans="6:6" s="15" customFormat="1" ht="15.75" customHeight="1" x14ac:dyDescent="0.25">
      <c r="F365" s="16"/>
    </row>
    <row r="366" spans="6:6" s="15" customFormat="1" ht="15.75" customHeight="1" x14ac:dyDescent="0.25">
      <c r="F366" s="16"/>
    </row>
    <row r="367" spans="6:6" s="15" customFormat="1" ht="15.75" customHeight="1" x14ac:dyDescent="0.25">
      <c r="F367" s="16"/>
    </row>
    <row r="368" spans="6:6" s="15" customFormat="1" ht="15.75" customHeight="1" x14ac:dyDescent="0.25">
      <c r="F368" s="16"/>
    </row>
    <row r="369" spans="6:6" s="15" customFormat="1" ht="15.75" customHeight="1" x14ac:dyDescent="0.25">
      <c r="F369" s="16"/>
    </row>
    <row r="370" spans="6:6" s="15" customFormat="1" ht="15.75" customHeight="1" x14ac:dyDescent="0.25">
      <c r="F370" s="16"/>
    </row>
    <row r="371" spans="6:6" s="15" customFormat="1" ht="15.75" customHeight="1" x14ac:dyDescent="0.25">
      <c r="F371" s="16"/>
    </row>
    <row r="372" spans="6:6" s="15" customFormat="1" ht="15.75" customHeight="1" x14ac:dyDescent="0.25">
      <c r="F372" s="16"/>
    </row>
    <row r="373" spans="6:6" s="15" customFormat="1" ht="15.75" customHeight="1" x14ac:dyDescent="0.25">
      <c r="F373" s="16"/>
    </row>
    <row r="374" spans="6:6" s="15" customFormat="1" ht="15.75" customHeight="1" x14ac:dyDescent="0.25">
      <c r="F374" s="16"/>
    </row>
    <row r="375" spans="6:6" s="15" customFormat="1" ht="15.75" customHeight="1" x14ac:dyDescent="0.25">
      <c r="F375" s="16"/>
    </row>
    <row r="376" spans="6:6" s="15" customFormat="1" ht="15.75" customHeight="1" x14ac:dyDescent="0.25">
      <c r="F376" s="16"/>
    </row>
    <row r="377" spans="6:6" s="15" customFormat="1" ht="15.75" customHeight="1" x14ac:dyDescent="0.25">
      <c r="F377" s="16"/>
    </row>
    <row r="378" spans="6:6" s="15" customFormat="1" ht="15.75" customHeight="1" x14ac:dyDescent="0.25">
      <c r="F378" s="16"/>
    </row>
    <row r="379" spans="6:6" s="15" customFormat="1" ht="15.75" customHeight="1" x14ac:dyDescent="0.25">
      <c r="F379" s="16"/>
    </row>
    <row r="380" spans="6:6" s="15" customFormat="1" ht="15.75" customHeight="1" x14ac:dyDescent="0.25">
      <c r="F380" s="16"/>
    </row>
    <row r="381" spans="6:6" s="15" customFormat="1" ht="15.75" customHeight="1" x14ac:dyDescent="0.25">
      <c r="F381" s="16"/>
    </row>
    <row r="382" spans="6:6" s="15" customFormat="1" ht="15.75" customHeight="1" x14ac:dyDescent="0.25">
      <c r="F382" s="16"/>
    </row>
    <row r="383" spans="6:6" s="15" customFormat="1" ht="15.75" customHeight="1" x14ac:dyDescent="0.25">
      <c r="F383" s="16"/>
    </row>
    <row r="384" spans="6:6" s="15" customFormat="1" ht="15.75" customHeight="1" x14ac:dyDescent="0.25">
      <c r="F384" s="16"/>
    </row>
    <row r="385" spans="6:6" s="15" customFormat="1" ht="15.75" customHeight="1" x14ac:dyDescent="0.25">
      <c r="F385" s="16"/>
    </row>
    <row r="386" spans="6:6" s="15" customFormat="1" ht="15.75" customHeight="1" x14ac:dyDescent="0.25">
      <c r="F386" s="16"/>
    </row>
    <row r="387" spans="6:6" s="15" customFormat="1" ht="15.75" customHeight="1" x14ac:dyDescent="0.25">
      <c r="F387" s="16"/>
    </row>
    <row r="388" spans="6:6" s="15" customFormat="1" ht="15.75" customHeight="1" x14ac:dyDescent="0.25">
      <c r="F388" s="16"/>
    </row>
    <row r="389" spans="6:6" s="15" customFormat="1" ht="15.75" customHeight="1" x14ac:dyDescent="0.25">
      <c r="F389" s="16"/>
    </row>
    <row r="390" spans="6:6" s="15" customFormat="1" ht="15.75" customHeight="1" x14ac:dyDescent="0.25">
      <c r="F390" s="16"/>
    </row>
    <row r="391" spans="6:6" s="15" customFormat="1" ht="15.75" customHeight="1" x14ac:dyDescent="0.25">
      <c r="F391" s="16"/>
    </row>
    <row r="392" spans="6:6" s="15" customFormat="1" ht="15.75" customHeight="1" x14ac:dyDescent="0.25">
      <c r="F392" s="16"/>
    </row>
    <row r="393" spans="6:6" s="15" customFormat="1" ht="15.75" customHeight="1" x14ac:dyDescent="0.25">
      <c r="F393" s="16"/>
    </row>
    <row r="394" spans="6:6" s="15" customFormat="1" ht="15.75" customHeight="1" x14ac:dyDescent="0.25">
      <c r="F394" s="16"/>
    </row>
    <row r="395" spans="6:6" s="15" customFormat="1" ht="15.75" customHeight="1" x14ac:dyDescent="0.25">
      <c r="F395" s="16"/>
    </row>
    <row r="396" spans="6:6" s="15" customFormat="1" ht="15.75" customHeight="1" x14ac:dyDescent="0.25">
      <c r="F396" s="16"/>
    </row>
    <row r="397" spans="6:6" s="15" customFormat="1" ht="15.75" customHeight="1" x14ac:dyDescent="0.25">
      <c r="F397" s="16"/>
    </row>
    <row r="398" spans="6:6" s="15" customFormat="1" ht="15.75" customHeight="1" x14ac:dyDescent="0.25">
      <c r="F398" s="16"/>
    </row>
    <row r="399" spans="6:6" s="15" customFormat="1" ht="15.75" customHeight="1" x14ac:dyDescent="0.25">
      <c r="F399" s="16"/>
    </row>
    <row r="400" spans="6:6" s="15" customFormat="1" ht="15.75" customHeight="1" x14ac:dyDescent="0.25">
      <c r="F400" s="16"/>
    </row>
    <row r="401" spans="6:6" s="15" customFormat="1" ht="15.75" customHeight="1" x14ac:dyDescent="0.25">
      <c r="F401" s="16"/>
    </row>
    <row r="402" spans="6:6" s="15" customFormat="1" ht="15.75" customHeight="1" x14ac:dyDescent="0.25">
      <c r="F402" s="16"/>
    </row>
    <row r="403" spans="6:6" s="15" customFormat="1" ht="15.75" customHeight="1" x14ac:dyDescent="0.25">
      <c r="F403" s="16"/>
    </row>
    <row r="404" spans="6:6" s="15" customFormat="1" ht="15.75" customHeight="1" x14ac:dyDescent="0.25">
      <c r="F404" s="16"/>
    </row>
    <row r="405" spans="6:6" s="15" customFormat="1" ht="15.75" customHeight="1" x14ac:dyDescent="0.25">
      <c r="F405" s="16"/>
    </row>
    <row r="406" spans="6:6" s="15" customFormat="1" ht="15.75" customHeight="1" x14ac:dyDescent="0.25">
      <c r="F406" s="16"/>
    </row>
    <row r="407" spans="6:6" s="15" customFormat="1" ht="15.75" customHeight="1" x14ac:dyDescent="0.25">
      <c r="F407" s="16"/>
    </row>
    <row r="408" spans="6:6" s="15" customFormat="1" ht="15.75" customHeight="1" x14ac:dyDescent="0.25">
      <c r="F408" s="16"/>
    </row>
    <row r="409" spans="6:6" s="15" customFormat="1" ht="15.75" customHeight="1" x14ac:dyDescent="0.25">
      <c r="F409" s="16"/>
    </row>
    <row r="410" spans="6:6" s="15" customFormat="1" ht="15.75" customHeight="1" x14ac:dyDescent="0.25">
      <c r="F410" s="16"/>
    </row>
    <row r="411" spans="6:6" s="15" customFormat="1" ht="15.75" customHeight="1" x14ac:dyDescent="0.25">
      <c r="F411" s="16"/>
    </row>
    <row r="412" spans="6:6" s="15" customFormat="1" ht="15.75" customHeight="1" x14ac:dyDescent="0.25">
      <c r="F412" s="16"/>
    </row>
    <row r="413" spans="6:6" s="15" customFormat="1" ht="15.75" customHeight="1" x14ac:dyDescent="0.25">
      <c r="F413" s="16"/>
    </row>
    <row r="414" spans="6:6" s="15" customFormat="1" ht="15.75" customHeight="1" x14ac:dyDescent="0.25">
      <c r="F414" s="16"/>
    </row>
    <row r="415" spans="6:6" s="15" customFormat="1" ht="15.75" customHeight="1" x14ac:dyDescent="0.25">
      <c r="F415" s="16"/>
    </row>
    <row r="416" spans="6:6" s="15" customFormat="1" ht="15.75" customHeight="1" x14ac:dyDescent="0.25">
      <c r="F416" s="16"/>
    </row>
    <row r="417" spans="6:6" s="15" customFormat="1" ht="15.75" customHeight="1" x14ac:dyDescent="0.25">
      <c r="F417" s="16"/>
    </row>
    <row r="418" spans="6:6" s="15" customFormat="1" ht="15.75" customHeight="1" x14ac:dyDescent="0.25">
      <c r="F418" s="16"/>
    </row>
    <row r="419" spans="6:6" s="15" customFormat="1" ht="15.75" customHeight="1" x14ac:dyDescent="0.25">
      <c r="F419" s="16"/>
    </row>
    <row r="420" spans="6:6" s="15" customFormat="1" ht="15.75" customHeight="1" x14ac:dyDescent="0.25">
      <c r="F420" s="16"/>
    </row>
    <row r="421" spans="6:6" s="15" customFormat="1" ht="15.75" customHeight="1" x14ac:dyDescent="0.25">
      <c r="F421" s="16"/>
    </row>
    <row r="422" spans="6:6" s="15" customFormat="1" ht="15.75" customHeight="1" x14ac:dyDescent="0.25">
      <c r="F422" s="16"/>
    </row>
    <row r="423" spans="6:6" s="15" customFormat="1" ht="15.75" customHeight="1" x14ac:dyDescent="0.25">
      <c r="F423" s="16"/>
    </row>
    <row r="424" spans="6:6" s="15" customFormat="1" ht="15.75" customHeight="1" x14ac:dyDescent="0.25">
      <c r="F424" s="16"/>
    </row>
    <row r="425" spans="6:6" s="15" customFormat="1" ht="15.75" customHeight="1" x14ac:dyDescent="0.25">
      <c r="F425" s="16"/>
    </row>
    <row r="426" spans="6:6" s="15" customFormat="1" ht="15.75" customHeight="1" x14ac:dyDescent="0.25">
      <c r="F426" s="16"/>
    </row>
    <row r="427" spans="6:6" s="15" customFormat="1" ht="15.75" customHeight="1" x14ac:dyDescent="0.25">
      <c r="F427" s="16"/>
    </row>
    <row r="428" spans="6:6" s="15" customFormat="1" ht="15.75" customHeight="1" x14ac:dyDescent="0.25">
      <c r="F428" s="16"/>
    </row>
    <row r="429" spans="6:6" s="15" customFormat="1" ht="15.75" customHeight="1" x14ac:dyDescent="0.25">
      <c r="F429" s="16"/>
    </row>
    <row r="430" spans="6:6" s="15" customFormat="1" ht="15.75" customHeight="1" x14ac:dyDescent="0.25">
      <c r="F430" s="16"/>
    </row>
    <row r="431" spans="6:6" s="15" customFormat="1" ht="15.75" customHeight="1" x14ac:dyDescent="0.25">
      <c r="F431" s="16"/>
    </row>
    <row r="432" spans="6:6" s="15" customFormat="1" ht="15.75" customHeight="1" x14ac:dyDescent="0.25">
      <c r="F432" s="16"/>
    </row>
    <row r="433" spans="6:6" s="15" customFormat="1" ht="15.75" customHeight="1" x14ac:dyDescent="0.25">
      <c r="F433" s="16"/>
    </row>
    <row r="434" spans="6:6" s="15" customFormat="1" ht="15.75" customHeight="1" x14ac:dyDescent="0.25">
      <c r="F434" s="16"/>
    </row>
    <row r="435" spans="6:6" s="15" customFormat="1" ht="15.75" customHeight="1" x14ac:dyDescent="0.25">
      <c r="F435" s="16"/>
    </row>
    <row r="436" spans="6:6" s="15" customFormat="1" ht="15.75" customHeight="1" x14ac:dyDescent="0.25">
      <c r="F436" s="16"/>
    </row>
    <row r="437" spans="6:6" s="15" customFormat="1" ht="15.75" customHeight="1" x14ac:dyDescent="0.25">
      <c r="F437" s="16"/>
    </row>
    <row r="438" spans="6:6" s="15" customFormat="1" ht="15.75" customHeight="1" x14ac:dyDescent="0.25">
      <c r="F438" s="16"/>
    </row>
    <row r="439" spans="6:6" s="15" customFormat="1" ht="15.75" customHeight="1" x14ac:dyDescent="0.25">
      <c r="F439" s="16"/>
    </row>
    <row r="440" spans="6:6" s="15" customFormat="1" ht="15.75" customHeight="1" x14ac:dyDescent="0.25">
      <c r="F440" s="16"/>
    </row>
    <row r="441" spans="6:6" s="15" customFormat="1" ht="15.75" customHeight="1" x14ac:dyDescent="0.25">
      <c r="F441" s="16"/>
    </row>
    <row r="442" spans="6:6" s="15" customFormat="1" ht="15.75" customHeight="1" x14ac:dyDescent="0.25">
      <c r="F442" s="16"/>
    </row>
    <row r="443" spans="6:6" s="15" customFormat="1" ht="15.75" customHeight="1" x14ac:dyDescent="0.25">
      <c r="F443" s="16"/>
    </row>
    <row r="444" spans="6:6" s="15" customFormat="1" ht="15.75" customHeight="1" x14ac:dyDescent="0.25">
      <c r="F444" s="16"/>
    </row>
    <row r="445" spans="6:6" s="15" customFormat="1" ht="15.75" customHeight="1" x14ac:dyDescent="0.25">
      <c r="F445" s="16"/>
    </row>
    <row r="446" spans="6:6" s="15" customFormat="1" ht="15.75" customHeight="1" x14ac:dyDescent="0.25">
      <c r="F446" s="16"/>
    </row>
    <row r="447" spans="6:6" s="15" customFormat="1" ht="15.75" customHeight="1" x14ac:dyDescent="0.25">
      <c r="F447" s="16"/>
    </row>
    <row r="448" spans="6:6" s="15" customFormat="1" ht="15.75" customHeight="1" x14ac:dyDescent="0.25">
      <c r="F448" s="16"/>
    </row>
    <row r="449" spans="6:6" s="15" customFormat="1" ht="15.75" customHeight="1" x14ac:dyDescent="0.25">
      <c r="F449" s="16"/>
    </row>
    <row r="450" spans="6:6" s="15" customFormat="1" ht="15.75" customHeight="1" x14ac:dyDescent="0.25">
      <c r="F450" s="16"/>
    </row>
    <row r="451" spans="6:6" s="15" customFormat="1" ht="15.75" customHeight="1" x14ac:dyDescent="0.25">
      <c r="F451" s="16"/>
    </row>
    <row r="452" spans="6:6" s="15" customFormat="1" ht="15.75" customHeight="1" x14ac:dyDescent="0.25">
      <c r="F452" s="16"/>
    </row>
    <row r="453" spans="6:6" s="15" customFormat="1" ht="15.75" customHeight="1" x14ac:dyDescent="0.25">
      <c r="F453" s="16"/>
    </row>
    <row r="454" spans="6:6" s="15" customFormat="1" ht="15.75" customHeight="1" x14ac:dyDescent="0.25">
      <c r="F454" s="16"/>
    </row>
    <row r="455" spans="6:6" s="15" customFormat="1" ht="15.75" customHeight="1" x14ac:dyDescent="0.25">
      <c r="F455" s="16"/>
    </row>
    <row r="456" spans="6:6" s="15" customFormat="1" ht="15.75" customHeight="1" x14ac:dyDescent="0.25">
      <c r="F456" s="16"/>
    </row>
    <row r="457" spans="6:6" s="15" customFormat="1" ht="15.75" customHeight="1" x14ac:dyDescent="0.25">
      <c r="F457" s="16"/>
    </row>
    <row r="458" spans="6:6" s="15" customFormat="1" ht="15.75" customHeight="1" x14ac:dyDescent="0.25">
      <c r="F458" s="16"/>
    </row>
    <row r="459" spans="6:6" s="15" customFormat="1" ht="15.75" customHeight="1" x14ac:dyDescent="0.25">
      <c r="F459" s="16"/>
    </row>
    <row r="460" spans="6:6" s="15" customFormat="1" ht="15.75" customHeight="1" x14ac:dyDescent="0.25">
      <c r="F460" s="16"/>
    </row>
    <row r="461" spans="6:6" s="15" customFormat="1" ht="15.75" customHeight="1" x14ac:dyDescent="0.25">
      <c r="F461" s="16"/>
    </row>
    <row r="462" spans="6:6" s="15" customFormat="1" ht="15.75" customHeight="1" x14ac:dyDescent="0.25">
      <c r="F462" s="16"/>
    </row>
    <row r="463" spans="6:6" s="15" customFormat="1" ht="15.75" customHeight="1" x14ac:dyDescent="0.25">
      <c r="F463" s="16"/>
    </row>
    <row r="464" spans="6:6" s="15" customFormat="1" ht="15.75" customHeight="1" x14ac:dyDescent="0.25">
      <c r="F464" s="16"/>
    </row>
    <row r="465" spans="6:6" s="15" customFormat="1" ht="15.75" customHeight="1" x14ac:dyDescent="0.25">
      <c r="F465" s="16"/>
    </row>
    <row r="466" spans="6:6" s="15" customFormat="1" ht="15.75" customHeight="1" x14ac:dyDescent="0.25">
      <c r="F466" s="16"/>
    </row>
    <row r="467" spans="6:6" s="15" customFormat="1" ht="15.75" customHeight="1" x14ac:dyDescent="0.25">
      <c r="F467" s="16"/>
    </row>
    <row r="468" spans="6:6" s="15" customFormat="1" ht="15.75" customHeight="1" x14ac:dyDescent="0.25">
      <c r="F468" s="16"/>
    </row>
    <row r="469" spans="6:6" s="15" customFormat="1" ht="15.75" customHeight="1" x14ac:dyDescent="0.25">
      <c r="F469" s="16"/>
    </row>
    <row r="470" spans="6:6" s="15" customFormat="1" ht="15.75" customHeight="1" x14ac:dyDescent="0.25">
      <c r="F470" s="16"/>
    </row>
    <row r="471" spans="6:6" s="15" customFormat="1" ht="15.75" customHeight="1" x14ac:dyDescent="0.25">
      <c r="F471" s="16"/>
    </row>
    <row r="472" spans="6:6" s="15" customFormat="1" ht="15.75" customHeight="1" x14ac:dyDescent="0.25">
      <c r="F472" s="16"/>
    </row>
    <row r="473" spans="6:6" s="15" customFormat="1" ht="15.75" customHeight="1" x14ac:dyDescent="0.25">
      <c r="F473" s="16"/>
    </row>
    <row r="474" spans="6:6" s="15" customFormat="1" ht="15.75" customHeight="1" x14ac:dyDescent="0.25">
      <c r="F474" s="16"/>
    </row>
    <row r="475" spans="6:6" s="15" customFormat="1" ht="15.75" customHeight="1" x14ac:dyDescent="0.25">
      <c r="F475" s="16"/>
    </row>
    <row r="476" spans="6:6" s="15" customFormat="1" ht="15.75" customHeight="1" x14ac:dyDescent="0.25">
      <c r="F476" s="16"/>
    </row>
    <row r="477" spans="6:6" s="15" customFormat="1" ht="15.75" customHeight="1" x14ac:dyDescent="0.25">
      <c r="F477" s="16"/>
    </row>
    <row r="478" spans="6:6" s="15" customFormat="1" ht="15.75" customHeight="1" x14ac:dyDescent="0.25">
      <c r="F478" s="16"/>
    </row>
    <row r="479" spans="6:6" s="15" customFormat="1" ht="15.75" customHeight="1" x14ac:dyDescent="0.25">
      <c r="F479" s="16"/>
    </row>
    <row r="480" spans="6:6" s="15" customFormat="1" ht="15.75" customHeight="1" x14ac:dyDescent="0.25">
      <c r="F480" s="16"/>
    </row>
    <row r="481" spans="6:6" s="15" customFormat="1" ht="15.75" customHeight="1" x14ac:dyDescent="0.25">
      <c r="F481" s="16"/>
    </row>
    <row r="482" spans="6:6" s="15" customFormat="1" ht="15.75" customHeight="1" x14ac:dyDescent="0.25">
      <c r="F482" s="16"/>
    </row>
    <row r="483" spans="6:6" s="15" customFormat="1" ht="15.75" customHeight="1" x14ac:dyDescent="0.25">
      <c r="F483" s="16"/>
    </row>
    <row r="484" spans="6:6" s="15" customFormat="1" ht="15.75" customHeight="1" x14ac:dyDescent="0.25">
      <c r="F484" s="16"/>
    </row>
    <row r="485" spans="6:6" s="15" customFormat="1" ht="15.75" customHeight="1" x14ac:dyDescent="0.25">
      <c r="F485" s="16"/>
    </row>
    <row r="486" spans="6:6" s="15" customFormat="1" ht="15.75" customHeight="1" x14ac:dyDescent="0.25">
      <c r="F486" s="16"/>
    </row>
    <row r="487" spans="6:6" s="15" customFormat="1" ht="15.75" customHeight="1" x14ac:dyDescent="0.25">
      <c r="F487" s="16"/>
    </row>
    <row r="488" spans="6:6" s="15" customFormat="1" ht="15.75" customHeight="1" x14ac:dyDescent="0.25">
      <c r="F488" s="16"/>
    </row>
    <row r="489" spans="6:6" s="15" customFormat="1" ht="15.75" customHeight="1" x14ac:dyDescent="0.25">
      <c r="F489" s="16"/>
    </row>
    <row r="490" spans="6:6" s="15" customFormat="1" ht="15.75" customHeight="1" x14ac:dyDescent="0.25">
      <c r="F490" s="16"/>
    </row>
    <row r="491" spans="6:6" s="15" customFormat="1" ht="15.75" customHeight="1" x14ac:dyDescent="0.25">
      <c r="F491" s="16"/>
    </row>
    <row r="492" spans="6:6" s="15" customFormat="1" ht="15.75" customHeight="1" x14ac:dyDescent="0.25">
      <c r="F492" s="16"/>
    </row>
    <row r="493" spans="6:6" s="15" customFormat="1" ht="15.75" customHeight="1" x14ac:dyDescent="0.25">
      <c r="F493" s="16"/>
    </row>
    <row r="494" spans="6:6" s="15" customFormat="1" ht="15.75" customHeight="1" x14ac:dyDescent="0.25">
      <c r="F494" s="16"/>
    </row>
    <row r="495" spans="6:6" s="15" customFormat="1" ht="15.75" customHeight="1" x14ac:dyDescent="0.25">
      <c r="F495" s="16"/>
    </row>
    <row r="496" spans="6:6" s="15" customFormat="1" ht="15.75" customHeight="1" x14ac:dyDescent="0.25">
      <c r="F496" s="16"/>
    </row>
    <row r="497" spans="6:6" s="15" customFormat="1" ht="15.75" customHeight="1" x14ac:dyDescent="0.25">
      <c r="F497" s="16"/>
    </row>
    <row r="498" spans="6:6" s="15" customFormat="1" ht="15.75" customHeight="1" x14ac:dyDescent="0.25">
      <c r="F498" s="16"/>
    </row>
    <row r="499" spans="6:6" s="15" customFormat="1" ht="15.75" customHeight="1" x14ac:dyDescent="0.25">
      <c r="F499" s="16"/>
    </row>
    <row r="500" spans="6:6" s="15" customFormat="1" ht="15.75" customHeight="1" x14ac:dyDescent="0.25">
      <c r="F500" s="16"/>
    </row>
    <row r="501" spans="6:6" s="15" customFormat="1" ht="15.75" customHeight="1" x14ac:dyDescent="0.25">
      <c r="F501" s="16"/>
    </row>
    <row r="502" spans="6:6" s="15" customFormat="1" ht="15.75" customHeight="1" x14ac:dyDescent="0.25">
      <c r="F502" s="16"/>
    </row>
    <row r="503" spans="6:6" s="15" customFormat="1" ht="15.75" customHeight="1" x14ac:dyDescent="0.25">
      <c r="F503" s="16"/>
    </row>
    <row r="504" spans="6:6" s="15" customFormat="1" ht="15.75" customHeight="1" x14ac:dyDescent="0.25">
      <c r="F504" s="16"/>
    </row>
    <row r="505" spans="6:6" s="15" customFormat="1" ht="15.75" customHeight="1" x14ac:dyDescent="0.25">
      <c r="F505" s="16"/>
    </row>
    <row r="506" spans="6:6" s="15" customFormat="1" ht="15.75" customHeight="1" x14ac:dyDescent="0.25">
      <c r="F506" s="16"/>
    </row>
    <row r="507" spans="6:6" s="15" customFormat="1" ht="15.75" customHeight="1" x14ac:dyDescent="0.25">
      <c r="F507" s="16"/>
    </row>
    <row r="508" spans="6:6" s="15" customFormat="1" ht="15.75" customHeight="1" x14ac:dyDescent="0.25">
      <c r="F508" s="16"/>
    </row>
    <row r="509" spans="6:6" s="15" customFormat="1" ht="15.75" customHeight="1" x14ac:dyDescent="0.25">
      <c r="F509" s="16"/>
    </row>
    <row r="510" spans="6:6" s="15" customFormat="1" ht="15.75" customHeight="1" x14ac:dyDescent="0.25">
      <c r="F510" s="16"/>
    </row>
    <row r="511" spans="6:6" s="15" customFormat="1" ht="15.75" customHeight="1" x14ac:dyDescent="0.25">
      <c r="F511" s="16"/>
    </row>
    <row r="512" spans="6:6" s="15" customFormat="1" ht="15.75" customHeight="1" x14ac:dyDescent="0.25">
      <c r="F512" s="16"/>
    </row>
    <row r="513" spans="6:6" s="15" customFormat="1" ht="15.75" customHeight="1" x14ac:dyDescent="0.25">
      <c r="F513" s="16"/>
    </row>
    <row r="514" spans="6:6" s="15" customFormat="1" ht="15.75" customHeight="1" x14ac:dyDescent="0.25">
      <c r="F514" s="16"/>
    </row>
    <row r="515" spans="6:6" s="15" customFormat="1" ht="15.75" customHeight="1" x14ac:dyDescent="0.25">
      <c r="F515" s="16"/>
    </row>
    <row r="516" spans="6:6" s="15" customFormat="1" ht="15.75" customHeight="1" x14ac:dyDescent="0.25">
      <c r="F516" s="16"/>
    </row>
    <row r="517" spans="6:6" s="15" customFormat="1" ht="15.75" customHeight="1" x14ac:dyDescent="0.25">
      <c r="F517" s="16"/>
    </row>
    <row r="518" spans="6:6" s="15" customFormat="1" ht="15.75" customHeight="1" x14ac:dyDescent="0.25">
      <c r="F518" s="16"/>
    </row>
    <row r="519" spans="6:6" s="15" customFormat="1" ht="15.75" customHeight="1" x14ac:dyDescent="0.25">
      <c r="F519" s="16"/>
    </row>
    <row r="520" spans="6:6" s="15" customFormat="1" ht="15.75" customHeight="1" x14ac:dyDescent="0.25">
      <c r="F520" s="16"/>
    </row>
    <row r="521" spans="6:6" s="15" customFormat="1" ht="15.75" customHeight="1" x14ac:dyDescent="0.25">
      <c r="F521" s="16"/>
    </row>
    <row r="522" spans="6:6" s="15" customFormat="1" ht="15.75" customHeight="1" x14ac:dyDescent="0.25">
      <c r="F522" s="16"/>
    </row>
    <row r="523" spans="6:6" s="15" customFormat="1" ht="15.75" customHeight="1" x14ac:dyDescent="0.25">
      <c r="F523" s="16"/>
    </row>
    <row r="524" spans="6:6" s="15" customFormat="1" ht="15.75" customHeight="1" x14ac:dyDescent="0.25">
      <c r="F524" s="16"/>
    </row>
    <row r="525" spans="6:6" s="15" customFormat="1" ht="15.75" customHeight="1" x14ac:dyDescent="0.25">
      <c r="F525" s="16"/>
    </row>
    <row r="526" spans="6:6" s="15" customFormat="1" ht="15.75" customHeight="1" x14ac:dyDescent="0.25">
      <c r="F526" s="16"/>
    </row>
    <row r="527" spans="6:6" s="15" customFormat="1" ht="15.75" customHeight="1" x14ac:dyDescent="0.25">
      <c r="F527" s="16"/>
    </row>
    <row r="528" spans="6:6" s="15" customFormat="1" ht="15.75" customHeight="1" x14ac:dyDescent="0.25">
      <c r="F528" s="16"/>
    </row>
    <row r="529" spans="6:6" s="15" customFormat="1" ht="15.75" customHeight="1" x14ac:dyDescent="0.25">
      <c r="F529" s="16"/>
    </row>
    <row r="530" spans="6:6" s="15" customFormat="1" ht="15.75" customHeight="1" x14ac:dyDescent="0.25">
      <c r="F530" s="16"/>
    </row>
    <row r="531" spans="6:6" s="15" customFormat="1" ht="15.75" customHeight="1" x14ac:dyDescent="0.25">
      <c r="F531" s="16"/>
    </row>
    <row r="532" spans="6:6" s="15" customFormat="1" ht="15.75" customHeight="1" x14ac:dyDescent="0.25">
      <c r="F532" s="16"/>
    </row>
    <row r="533" spans="6:6" s="15" customFormat="1" ht="15.75" customHeight="1" x14ac:dyDescent="0.25">
      <c r="F533" s="16"/>
    </row>
    <row r="534" spans="6:6" s="15" customFormat="1" ht="15.75" customHeight="1" x14ac:dyDescent="0.25">
      <c r="F534" s="16"/>
    </row>
    <row r="535" spans="6:6" s="15" customFormat="1" ht="15.75" customHeight="1" x14ac:dyDescent="0.25">
      <c r="F535" s="16"/>
    </row>
    <row r="536" spans="6:6" s="15" customFormat="1" ht="15.75" customHeight="1" x14ac:dyDescent="0.25">
      <c r="F536" s="16"/>
    </row>
    <row r="537" spans="6:6" s="15" customFormat="1" ht="15.75" customHeight="1" x14ac:dyDescent="0.25">
      <c r="F537" s="16"/>
    </row>
    <row r="538" spans="6:6" s="15" customFormat="1" ht="15.75" customHeight="1" x14ac:dyDescent="0.25">
      <c r="F538" s="16"/>
    </row>
    <row r="539" spans="6:6" s="15" customFormat="1" ht="15.75" customHeight="1" x14ac:dyDescent="0.25">
      <c r="F539" s="16"/>
    </row>
    <row r="540" spans="6:6" s="15" customFormat="1" ht="15.75" customHeight="1" x14ac:dyDescent="0.25">
      <c r="F540" s="16"/>
    </row>
    <row r="541" spans="6:6" s="15" customFormat="1" ht="15.75" customHeight="1" x14ac:dyDescent="0.25">
      <c r="F541" s="16"/>
    </row>
    <row r="542" spans="6:6" s="15" customFormat="1" ht="15.75" customHeight="1" x14ac:dyDescent="0.25">
      <c r="F542" s="16"/>
    </row>
    <row r="543" spans="6:6" s="15" customFormat="1" ht="15.75" customHeight="1" x14ac:dyDescent="0.25">
      <c r="F543" s="16"/>
    </row>
    <row r="544" spans="6:6" s="15" customFormat="1" ht="15.75" customHeight="1" x14ac:dyDescent="0.25">
      <c r="F544" s="16"/>
    </row>
    <row r="545" spans="6:6" s="15" customFormat="1" ht="15.75" customHeight="1" x14ac:dyDescent="0.25">
      <c r="F545" s="16"/>
    </row>
    <row r="546" spans="6:6" s="15" customFormat="1" ht="15.75" customHeight="1" x14ac:dyDescent="0.25">
      <c r="F546" s="16"/>
    </row>
    <row r="547" spans="6:6" s="15" customFormat="1" ht="15.75" customHeight="1" x14ac:dyDescent="0.25">
      <c r="F547" s="16"/>
    </row>
    <row r="548" spans="6:6" s="15" customFormat="1" ht="15.75" customHeight="1" x14ac:dyDescent="0.25">
      <c r="F548" s="16"/>
    </row>
    <row r="549" spans="6:6" s="15" customFormat="1" ht="15.75" customHeight="1" x14ac:dyDescent="0.25">
      <c r="F549" s="16"/>
    </row>
    <row r="550" spans="6:6" s="15" customFormat="1" ht="15.75" customHeight="1" x14ac:dyDescent="0.25">
      <c r="F550" s="16"/>
    </row>
    <row r="551" spans="6:6" s="15" customFormat="1" ht="15.75" customHeight="1" x14ac:dyDescent="0.25">
      <c r="F551" s="16"/>
    </row>
    <row r="552" spans="6:6" s="15" customFormat="1" ht="15.75" customHeight="1" x14ac:dyDescent="0.25">
      <c r="F552" s="16"/>
    </row>
    <row r="553" spans="6:6" s="15" customFormat="1" ht="15.75" customHeight="1" x14ac:dyDescent="0.25">
      <c r="F553" s="16"/>
    </row>
    <row r="554" spans="6:6" s="15" customFormat="1" ht="15.75" customHeight="1" x14ac:dyDescent="0.25">
      <c r="F554" s="16"/>
    </row>
    <row r="555" spans="6:6" s="15" customFormat="1" ht="15.75" customHeight="1" x14ac:dyDescent="0.25">
      <c r="F555" s="16"/>
    </row>
    <row r="556" spans="6:6" s="15" customFormat="1" ht="15.75" customHeight="1" x14ac:dyDescent="0.25">
      <c r="F556" s="16"/>
    </row>
    <row r="557" spans="6:6" s="15" customFormat="1" ht="15.75" customHeight="1" x14ac:dyDescent="0.25">
      <c r="F557" s="16"/>
    </row>
    <row r="558" spans="6:6" s="15" customFormat="1" ht="15.75" customHeight="1" x14ac:dyDescent="0.25">
      <c r="F558" s="16"/>
    </row>
    <row r="559" spans="6:6" s="15" customFormat="1" ht="15.75" customHeight="1" x14ac:dyDescent="0.25">
      <c r="F559" s="16"/>
    </row>
    <row r="560" spans="6:6" s="15" customFormat="1" ht="15.75" customHeight="1" x14ac:dyDescent="0.25">
      <c r="F560" s="16"/>
    </row>
    <row r="561" spans="6:6" s="15" customFormat="1" ht="15.75" customHeight="1" x14ac:dyDescent="0.25">
      <c r="F561" s="16"/>
    </row>
    <row r="562" spans="6:6" s="15" customFormat="1" ht="15.75" customHeight="1" x14ac:dyDescent="0.25">
      <c r="F562" s="16"/>
    </row>
    <row r="563" spans="6:6" s="15" customFormat="1" ht="15.75" customHeight="1" x14ac:dyDescent="0.25">
      <c r="F563" s="16"/>
    </row>
    <row r="564" spans="6:6" s="15" customFormat="1" ht="15.75" customHeight="1" x14ac:dyDescent="0.25">
      <c r="F564" s="16"/>
    </row>
    <row r="565" spans="6:6" s="15" customFormat="1" ht="15.75" customHeight="1" x14ac:dyDescent="0.25">
      <c r="F565" s="16"/>
    </row>
    <row r="566" spans="6:6" s="15" customFormat="1" ht="15.75" customHeight="1" x14ac:dyDescent="0.25">
      <c r="F566" s="16"/>
    </row>
    <row r="567" spans="6:6" s="15" customFormat="1" ht="15.75" customHeight="1" x14ac:dyDescent="0.25">
      <c r="F567" s="16"/>
    </row>
    <row r="568" spans="6:6" s="15" customFormat="1" ht="15.75" customHeight="1" x14ac:dyDescent="0.25">
      <c r="F568" s="16"/>
    </row>
    <row r="569" spans="6:6" s="15" customFormat="1" ht="15.75" customHeight="1" x14ac:dyDescent="0.25">
      <c r="F569" s="16"/>
    </row>
    <row r="570" spans="6:6" s="15" customFormat="1" ht="15.75" customHeight="1" x14ac:dyDescent="0.25">
      <c r="F570" s="16"/>
    </row>
    <row r="571" spans="6:6" s="15" customFormat="1" ht="15.75" customHeight="1" x14ac:dyDescent="0.25">
      <c r="F571" s="16"/>
    </row>
    <row r="572" spans="6:6" s="15" customFormat="1" ht="15.75" customHeight="1" x14ac:dyDescent="0.25">
      <c r="F572" s="16"/>
    </row>
    <row r="573" spans="6:6" s="15" customFormat="1" ht="15.75" customHeight="1" x14ac:dyDescent="0.25">
      <c r="F573" s="16"/>
    </row>
    <row r="574" spans="6:6" s="15" customFormat="1" ht="15.75" customHeight="1" x14ac:dyDescent="0.25">
      <c r="F574" s="16"/>
    </row>
    <row r="575" spans="6:6" s="15" customFormat="1" ht="15.75" customHeight="1" x14ac:dyDescent="0.25">
      <c r="F575" s="16"/>
    </row>
    <row r="576" spans="6:6" s="15" customFormat="1" ht="15.75" customHeight="1" x14ac:dyDescent="0.25">
      <c r="F576" s="16"/>
    </row>
    <row r="577" spans="6:6" s="15" customFormat="1" ht="15.75" customHeight="1" x14ac:dyDescent="0.25">
      <c r="F577" s="16"/>
    </row>
    <row r="578" spans="6:6" s="15" customFormat="1" ht="15.75" customHeight="1" x14ac:dyDescent="0.25">
      <c r="F578" s="16"/>
    </row>
    <row r="579" spans="6:6" s="15" customFormat="1" ht="15.75" customHeight="1" x14ac:dyDescent="0.25">
      <c r="F579" s="16"/>
    </row>
    <row r="580" spans="6:6" s="15" customFormat="1" ht="15.75" customHeight="1" x14ac:dyDescent="0.25">
      <c r="F580" s="16"/>
    </row>
    <row r="581" spans="6:6" s="15" customFormat="1" ht="15.75" customHeight="1" x14ac:dyDescent="0.25">
      <c r="F581" s="16"/>
    </row>
    <row r="582" spans="6:6" s="15" customFormat="1" ht="15.75" customHeight="1" x14ac:dyDescent="0.25">
      <c r="F582" s="16"/>
    </row>
    <row r="583" spans="6:6" s="15" customFormat="1" ht="15.75" customHeight="1" x14ac:dyDescent="0.25">
      <c r="F583" s="16"/>
    </row>
    <row r="584" spans="6:6" s="15" customFormat="1" ht="15.75" customHeight="1" x14ac:dyDescent="0.25">
      <c r="F584" s="16"/>
    </row>
    <row r="585" spans="6:6" s="15" customFormat="1" ht="15.75" customHeight="1" x14ac:dyDescent="0.25">
      <c r="F585" s="16"/>
    </row>
    <row r="586" spans="6:6" s="15" customFormat="1" ht="15.75" customHeight="1" x14ac:dyDescent="0.25">
      <c r="F586" s="16"/>
    </row>
    <row r="587" spans="6:6" s="15" customFormat="1" ht="15.75" customHeight="1" x14ac:dyDescent="0.25">
      <c r="F587" s="16"/>
    </row>
    <row r="588" spans="6:6" s="15" customFormat="1" ht="15.75" customHeight="1" x14ac:dyDescent="0.25">
      <c r="F588" s="16"/>
    </row>
    <row r="589" spans="6:6" s="15" customFormat="1" ht="15.75" customHeight="1" x14ac:dyDescent="0.25">
      <c r="F589" s="16"/>
    </row>
    <row r="590" spans="6:6" s="15" customFormat="1" ht="15.75" customHeight="1" x14ac:dyDescent="0.25">
      <c r="F590" s="16"/>
    </row>
    <row r="591" spans="6:6" s="15" customFormat="1" ht="15.75" customHeight="1" x14ac:dyDescent="0.25">
      <c r="F591" s="16"/>
    </row>
    <row r="592" spans="6:6" s="15" customFormat="1" ht="15.75" customHeight="1" x14ac:dyDescent="0.25">
      <c r="F592" s="16"/>
    </row>
    <row r="593" spans="6:6" s="15" customFormat="1" ht="15.75" customHeight="1" x14ac:dyDescent="0.25">
      <c r="F593" s="16"/>
    </row>
    <row r="594" spans="6:6" s="15" customFormat="1" ht="15.75" customHeight="1" x14ac:dyDescent="0.25">
      <c r="F594" s="16"/>
    </row>
    <row r="595" spans="6:6" s="15" customFormat="1" ht="15.75" customHeight="1" x14ac:dyDescent="0.25">
      <c r="F595" s="16"/>
    </row>
    <row r="596" spans="6:6" s="15" customFormat="1" ht="15.75" customHeight="1" x14ac:dyDescent="0.25">
      <c r="F596" s="16"/>
    </row>
    <row r="597" spans="6:6" s="15" customFormat="1" ht="15.75" customHeight="1" x14ac:dyDescent="0.25">
      <c r="F597" s="16"/>
    </row>
    <row r="598" spans="6:6" s="15" customFormat="1" ht="15.75" customHeight="1" x14ac:dyDescent="0.25">
      <c r="F598" s="16"/>
    </row>
    <row r="599" spans="6:6" s="15" customFormat="1" ht="15.75" customHeight="1" x14ac:dyDescent="0.25">
      <c r="F599" s="16"/>
    </row>
    <row r="600" spans="6:6" s="15" customFormat="1" ht="15.75" customHeight="1" x14ac:dyDescent="0.25">
      <c r="F600" s="16"/>
    </row>
    <row r="601" spans="6:6" s="15" customFormat="1" ht="15.75" customHeight="1" x14ac:dyDescent="0.25">
      <c r="F601" s="16"/>
    </row>
    <row r="602" spans="6:6" s="15" customFormat="1" ht="15.75" customHeight="1" x14ac:dyDescent="0.25">
      <c r="F602" s="16"/>
    </row>
    <row r="603" spans="6:6" s="15" customFormat="1" ht="15.75" customHeight="1" x14ac:dyDescent="0.25">
      <c r="F603" s="16"/>
    </row>
    <row r="604" spans="6:6" s="15" customFormat="1" ht="15.75" customHeight="1" x14ac:dyDescent="0.25">
      <c r="F604" s="16"/>
    </row>
    <row r="605" spans="6:6" s="15" customFormat="1" ht="15.75" customHeight="1" x14ac:dyDescent="0.25">
      <c r="F605" s="16"/>
    </row>
    <row r="606" spans="6:6" s="15" customFormat="1" ht="15.75" customHeight="1" x14ac:dyDescent="0.25">
      <c r="F606" s="16"/>
    </row>
    <row r="607" spans="6:6" s="15" customFormat="1" ht="15.75" customHeight="1" x14ac:dyDescent="0.25">
      <c r="F607" s="16"/>
    </row>
    <row r="608" spans="6:6" s="15" customFormat="1" ht="15.75" customHeight="1" x14ac:dyDescent="0.25">
      <c r="F608" s="16"/>
    </row>
    <row r="609" spans="6:6" s="15" customFormat="1" ht="15.75" customHeight="1" x14ac:dyDescent="0.25">
      <c r="F609" s="16"/>
    </row>
    <row r="610" spans="6:6" s="15" customFormat="1" ht="15.75" customHeight="1" x14ac:dyDescent="0.25">
      <c r="F610" s="16"/>
    </row>
    <row r="611" spans="6:6" s="15" customFormat="1" ht="15.75" customHeight="1" x14ac:dyDescent="0.25">
      <c r="F611" s="16"/>
    </row>
    <row r="612" spans="6:6" s="15" customFormat="1" ht="15.75" customHeight="1" x14ac:dyDescent="0.25">
      <c r="F612" s="16"/>
    </row>
    <row r="613" spans="6:6" s="15" customFormat="1" ht="15.75" customHeight="1" x14ac:dyDescent="0.25">
      <c r="F613" s="16"/>
    </row>
    <row r="614" spans="6:6" s="15" customFormat="1" ht="15.75" customHeight="1" x14ac:dyDescent="0.25">
      <c r="F614" s="16"/>
    </row>
    <row r="615" spans="6:6" s="15" customFormat="1" ht="15.75" customHeight="1" x14ac:dyDescent="0.25">
      <c r="F615" s="16"/>
    </row>
    <row r="616" spans="6:6" s="15" customFormat="1" ht="15.75" customHeight="1" x14ac:dyDescent="0.25">
      <c r="F616" s="16"/>
    </row>
    <row r="617" spans="6:6" s="15" customFormat="1" ht="15.75" customHeight="1" x14ac:dyDescent="0.25">
      <c r="F617" s="16"/>
    </row>
    <row r="618" spans="6:6" s="15" customFormat="1" ht="15.75" customHeight="1" x14ac:dyDescent="0.25">
      <c r="F618" s="16"/>
    </row>
    <row r="619" spans="6:6" s="15" customFormat="1" ht="15.75" customHeight="1" x14ac:dyDescent="0.25">
      <c r="F619" s="16"/>
    </row>
    <row r="620" spans="6:6" s="15" customFormat="1" ht="15.75" customHeight="1" x14ac:dyDescent="0.25">
      <c r="F620" s="16"/>
    </row>
    <row r="621" spans="6:6" s="15" customFormat="1" ht="15.75" customHeight="1" x14ac:dyDescent="0.25">
      <c r="F621" s="16"/>
    </row>
    <row r="622" spans="6:6" s="15" customFormat="1" ht="15.75" customHeight="1" x14ac:dyDescent="0.25">
      <c r="F622" s="16"/>
    </row>
    <row r="623" spans="6:6" s="15" customFormat="1" ht="15.75" customHeight="1" x14ac:dyDescent="0.25">
      <c r="F623" s="16"/>
    </row>
    <row r="624" spans="6:6" s="15" customFormat="1" ht="15.75" customHeight="1" x14ac:dyDescent="0.25">
      <c r="F624" s="16"/>
    </row>
    <row r="625" spans="6:6" s="15" customFormat="1" ht="15.75" customHeight="1" x14ac:dyDescent="0.25">
      <c r="F625" s="16"/>
    </row>
    <row r="626" spans="6:6" s="15" customFormat="1" ht="15.75" customHeight="1" x14ac:dyDescent="0.25">
      <c r="F626" s="16"/>
    </row>
    <row r="627" spans="6:6" s="15" customFormat="1" ht="15.75" customHeight="1" x14ac:dyDescent="0.25">
      <c r="F627" s="16"/>
    </row>
    <row r="628" spans="6:6" s="15" customFormat="1" ht="15.75" customHeight="1" x14ac:dyDescent="0.25">
      <c r="F628" s="16"/>
    </row>
    <row r="629" spans="6:6" s="15" customFormat="1" ht="15.75" customHeight="1" x14ac:dyDescent="0.25">
      <c r="F629" s="16"/>
    </row>
    <row r="630" spans="6:6" s="15" customFormat="1" ht="15.75" customHeight="1" x14ac:dyDescent="0.25">
      <c r="F630" s="16"/>
    </row>
    <row r="631" spans="6:6" s="15" customFormat="1" ht="15.75" customHeight="1" x14ac:dyDescent="0.25">
      <c r="F631" s="16"/>
    </row>
    <row r="632" spans="6:6" s="15" customFormat="1" ht="15.75" customHeight="1" x14ac:dyDescent="0.25">
      <c r="F632" s="16"/>
    </row>
    <row r="633" spans="6:6" s="15" customFormat="1" ht="15.75" customHeight="1" x14ac:dyDescent="0.25">
      <c r="F633" s="16"/>
    </row>
    <row r="634" spans="6:6" s="15" customFormat="1" ht="15.75" customHeight="1" x14ac:dyDescent="0.25">
      <c r="F634" s="16"/>
    </row>
    <row r="635" spans="6:6" s="15" customFormat="1" ht="15.75" customHeight="1" x14ac:dyDescent="0.25">
      <c r="F635" s="16"/>
    </row>
    <row r="636" spans="6:6" s="15" customFormat="1" ht="15.75" customHeight="1" x14ac:dyDescent="0.25">
      <c r="F636" s="16"/>
    </row>
    <row r="637" spans="6:6" s="15" customFormat="1" ht="15.75" customHeight="1" x14ac:dyDescent="0.25">
      <c r="F637" s="16"/>
    </row>
    <row r="638" spans="6:6" s="15" customFormat="1" ht="15.75" customHeight="1" x14ac:dyDescent="0.25">
      <c r="F638" s="16"/>
    </row>
    <row r="639" spans="6:6" s="15" customFormat="1" ht="15.75" customHeight="1" x14ac:dyDescent="0.25">
      <c r="F639" s="16"/>
    </row>
    <row r="640" spans="6:6" s="15" customFormat="1" ht="15.75" customHeight="1" x14ac:dyDescent="0.25">
      <c r="F640" s="16"/>
    </row>
    <row r="641" spans="6:6" s="15" customFormat="1" ht="15.75" customHeight="1" x14ac:dyDescent="0.25">
      <c r="F641" s="16"/>
    </row>
    <row r="642" spans="6:6" s="15" customFormat="1" ht="15.75" customHeight="1" x14ac:dyDescent="0.25">
      <c r="F642" s="16"/>
    </row>
    <row r="643" spans="6:6" s="15" customFormat="1" ht="15.75" customHeight="1" x14ac:dyDescent="0.25">
      <c r="F643" s="16"/>
    </row>
    <row r="644" spans="6:6" s="15" customFormat="1" ht="15.75" customHeight="1" x14ac:dyDescent="0.25">
      <c r="F644" s="16"/>
    </row>
    <row r="645" spans="6:6" s="15" customFormat="1" ht="15.75" customHeight="1" x14ac:dyDescent="0.25">
      <c r="F645" s="16"/>
    </row>
    <row r="646" spans="6:6" s="15" customFormat="1" ht="15.75" customHeight="1" x14ac:dyDescent="0.25">
      <c r="F646" s="16"/>
    </row>
    <row r="647" spans="6:6" s="15" customFormat="1" ht="15.75" customHeight="1" x14ac:dyDescent="0.25">
      <c r="F647" s="16"/>
    </row>
    <row r="648" spans="6:6" s="15" customFormat="1" ht="15.75" customHeight="1" x14ac:dyDescent="0.25">
      <c r="F648" s="16"/>
    </row>
    <row r="649" spans="6:6" s="15" customFormat="1" ht="15.75" customHeight="1" x14ac:dyDescent="0.25">
      <c r="F649" s="16"/>
    </row>
    <row r="650" spans="6:6" s="15" customFormat="1" ht="15.75" customHeight="1" x14ac:dyDescent="0.25">
      <c r="F650" s="16"/>
    </row>
    <row r="651" spans="6:6" s="15" customFormat="1" ht="15.75" customHeight="1" x14ac:dyDescent="0.25">
      <c r="F651" s="16"/>
    </row>
    <row r="652" spans="6:6" s="15" customFormat="1" ht="15.75" customHeight="1" x14ac:dyDescent="0.25">
      <c r="F652" s="16"/>
    </row>
    <row r="653" spans="6:6" s="15" customFormat="1" ht="15.75" customHeight="1" x14ac:dyDescent="0.25">
      <c r="F653" s="16"/>
    </row>
    <row r="654" spans="6:6" s="15" customFormat="1" ht="15.75" customHeight="1" x14ac:dyDescent="0.25">
      <c r="F654" s="16"/>
    </row>
    <row r="655" spans="6:6" s="15" customFormat="1" ht="15.75" customHeight="1" x14ac:dyDescent="0.25">
      <c r="F655" s="16"/>
    </row>
    <row r="656" spans="6:6" s="15" customFormat="1" ht="15.75" customHeight="1" x14ac:dyDescent="0.25">
      <c r="F656" s="16"/>
    </row>
    <row r="657" spans="6:6" s="15" customFormat="1" ht="15.75" customHeight="1" x14ac:dyDescent="0.25">
      <c r="F657" s="16"/>
    </row>
    <row r="658" spans="6:6" s="15" customFormat="1" ht="15.75" customHeight="1" x14ac:dyDescent="0.25">
      <c r="F658" s="16"/>
    </row>
    <row r="659" spans="6:6" s="15" customFormat="1" ht="15.75" customHeight="1" x14ac:dyDescent="0.25">
      <c r="F659" s="16"/>
    </row>
    <row r="660" spans="6:6" s="15" customFormat="1" ht="15.75" customHeight="1" x14ac:dyDescent="0.25">
      <c r="F660" s="16"/>
    </row>
    <row r="661" spans="6:6" s="15" customFormat="1" ht="15.75" customHeight="1" x14ac:dyDescent="0.25">
      <c r="F661" s="16"/>
    </row>
    <row r="662" spans="6:6" s="15" customFormat="1" ht="15.75" customHeight="1" x14ac:dyDescent="0.25">
      <c r="F662" s="16"/>
    </row>
    <row r="663" spans="6:6" s="15" customFormat="1" ht="15.75" customHeight="1" x14ac:dyDescent="0.25">
      <c r="F663" s="16"/>
    </row>
    <row r="664" spans="6:6" s="15" customFormat="1" ht="15.75" customHeight="1" x14ac:dyDescent="0.25">
      <c r="F664" s="16"/>
    </row>
    <row r="665" spans="6:6" s="15" customFormat="1" ht="15.75" customHeight="1" x14ac:dyDescent="0.25">
      <c r="F665" s="16"/>
    </row>
    <row r="666" spans="6:6" s="15" customFormat="1" ht="15.75" customHeight="1" x14ac:dyDescent="0.25">
      <c r="F666" s="16"/>
    </row>
    <row r="667" spans="6:6" s="15" customFormat="1" ht="15.75" customHeight="1" x14ac:dyDescent="0.25">
      <c r="F667" s="16"/>
    </row>
    <row r="668" spans="6:6" s="15" customFormat="1" ht="15.75" customHeight="1" x14ac:dyDescent="0.25">
      <c r="F668" s="16"/>
    </row>
    <row r="669" spans="6:6" s="15" customFormat="1" ht="15.75" customHeight="1" x14ac:dyDescent="0.25">
      <c r="F669" s="16"/>
    </row>
    <row r="670" spans="6:6" s="15" customFormat="1" ht="15.75" customHeight="1" x14ac:dyDescent="0.25">
      <c r="F670" s="16"/>
    </row>
    <row r="671" spans="6:6" s="15" customFormat="1" ht="15.75" customHeight="1" x14ac:dyDescent="0.25">
      <c r="F671" s="16"/>
    </row>
    <row r="672" spans="6:6" s="15" customFormat="1" ht="15.75" customHeight="1" x14ac:dyDescent="0.25">
      <c r="F672" s="16"/>
    </row>
    <row r="673" spans="6:6" s="15" customFormat="1" ht="15.75" customHeight="1" x14ac:dyDescent="0.25">
      <c r="F673" s="16"/>
    </row>
    <row r="674" spans="6:6" s="15" customFormat="1" ht="15.75" customHeight="1" x14ac:dyDescent="0.25">
      <c r="F674" s="16"/>
    </row>
    <row r="675" spans="6:6" s="15" customFormat="1" ht="15.75" customHeight="1" x14ac:dyDescent="0.25">
      <c r="F675" s="16"/>
    </row>
    <row r="676" spans="6:6" s="15" customFormat="1" ht="15.75" customHeight="1" x14ac:dyDescent="0.25">
      <c r="F676" s="16"/>
    </row>
    <row r="677" spans="6:6" s="15" customFormat="1" ht="15.75" customHeight="1" x14ac:dyDescent="0.25">
      <c r="F677" s="16"/>
    </row>
    <row r="678" spans="6:6" s="15" customFormat="1" ht="15.75" customHeight="1" x14ac:dyDescent="0.25">
      <c r="F678" s="16"/>
    </row>
    <row r="679" spans="6:6" s="15" customFormat="1" ht="15.75" customHeight="1" x14ac:dyDescent="0.25">
      <c r="F679" s="16"/>
    </row>
    <row r="680" spans="6:6" s="15" customFormat="1" ht="15.75" customHeight="1" x14ac:dyDescent="0.25">
      <c r="F680" s="16"/>
    </row>
    <row r="681" spans="6:6" s="15" customFormat="1" ht="15.75" customHeight="1" x14ac:dyDescent="0.25">
      <c r="F681" s="16"/>
    </row>
    <row r="682" spans="6:6" s="15" customFormat="1" ht="15.75" customHeight="1" x14ac:dyDescent="0.25">
      <c r="F682" s="16"/>
    </row>
    <row r="683" spans="6:6" s="15" customFormat="1" ht="15.75" customHeight="1" x14ac:dyDescent="0.25">
      <c r="F683" s="16"/>
    </row>
    <row r="684" spans="6:6" s="15" customFormat="1" ht="15.75" customHeight="1" x14ac:dyDescent="0.25">
      <c r="F684" s="16"/>
    </row>
    <row r="685" spans="6:6" s="15" customFormat="1" ht="15.75" customHeight="1" x14ac:dyDescent="0.25">
      <c r="F685" s="16"/>
    </row>
    <row r="686" spans="6:6" s="15" customFormat="1" ht="15.75" customHeight="1" x14ac:dyDescent="0.25">
      <c r="F686" s="16"/>
    </row>
    <row r="687" spans="6:6" s="15" customFormat="1" ht="15.75" customHeight="1" x14ac:dyDescent="0.25">
      <c r="F687" s="16"/>
    </row>
    <row r="688" spans="6:6" s="15" customFormat="1" ht="15.75" customHeight="1" x14ac:dyDescent="0.25">
      <c r="F688" s="16"/>
    </row>
    <row r="689" spans="6:6" s="15" customFormat="1" ht="15.75" customHeight="1" x14ac:dyDescent="0.25">
      <c r="F689" s="16"/>
    </row>
    <row r="690" spans="6:6" s="15" customFormat="1" ht="15.75" customHeight="1" x14ac:dyDescent="0.25">
      <c r="F690" s="16"/>
    </row>
    <row r="691" spans="6:6" s="15" customFormat="1" ht="15.75" customHeight="1" x14ac:dyDescent="0.25">
      <c r="F691" s="16"/>
    </row>
    <row r="692" spans="6:6" s="15" customFormat="1" ht="15.75" customHeight="1" x14ac:dyDescent="0.25">
      <c r="F692" s="16"/>
    </row>
    <row r="693" spans="6:6" s="15" customFormat="1" ht="15.75" customHeight="1" x14ac:dyDescent="0.25">
      <c r="F693" s="16"/>
    </row>
    <row r="694" spans="6:6" s="15" customFormat="1" ht="15.75" customHeight="1" x14ac:dyDescent="0.25">
      <c r="F694" s="16"/>
    </row>
    <row r="695" spans="6:6" s="15" customFormat="1" ht="15.75" customHeight="1" x14ac:dyDescent="0.25">
      <c r="F695" s="16"/>
    </row>
    <row r="696" spans="6:6" s="15" customFormat="1" ht="15.75" customHeight="1" x14ac:dyDescent="0.25">
      <c r="F696" s="16"/>
    </row>
    <row r="697" spans="6:6" s="15" customFormat="1" ht="15.75" customHeight="1" x14ac:dyDescent="0.25">
      <c r="F697" s="16"/>
    </row>
    <row r="698" spans="6:6" s="15" customFormat="1" ht="15.75" customHeight="1" x14ac:dyDescent="0.25">
      <c r="F698" s="16"/>
    </row>
    <row r="699" spans="6:6" s="15" customFormat="1" ht="15.75" customHeight="1" x14ac:dyDescent="0.25">
      <c r="F699" s="16"/>
    </row>
    <row r="700" spans="6:6" s="15" customFormat="1" ht="15.75" customHeight="1" x14ac:dyDescent="0.25">
      <c r="F700" s="16"/>
    </row>
    <row r="701" spans="6:6" s="15" customFormat="1" ht="15.75" customHeight="1" x14ac:dyDescent="0.25">
      <c r="F701" s="16"/>
    </row>
    <row r="702" spans="6:6" s="15" customFormat="1" ht="15.75" customHeight="1" x14ac:dyDescent="0.25">
      <c r="F702" s="16"/>
    </row>
    <row r="703" spans="6:6" s="15" customFormat="1" ht="15.75" customHeight="1" x14ac:dyDescent="0.25">
      <c r="F703" s="16"/>
    </row>
    <row r="704" spans="6:6" s="15" customFormat="1" ht="15.75" customHeight="1" x14ac:dyDescent="0.25">
      <c r="F704" s="16"/>
    </row>
    <row r="705" spans="6:6" s="15" customFormat="1" ht="15.75" customHeight="1" x14ac:dyDescent="0.25">
      <c r="F705" s="16"/>
    </row>
    <row r="706" spans="6:6" s="15" customFormat="1" ht="15.75" customHeight="1" x14ac:dyDescent="0.25">
      <c r="F706" s="16"/>
    </row>
    <row r="707" spans="6:6" s="15" customFormat="1" ht="15.75" customHeight="1" x14ac:dyDescent="0.25">
      <c r="F707" s="16"/>
    </row>
    <row r="708" spans="6:6" s="15" customFormat="1" ht="15.75" customHeight="1" x14ac:dyDescent="0.25">
      <c r="F708" s="16"/>
    </row>
    <row r="709" spans="6:6" s="15" customFormat="1" ht="15.75" customHeight="1" x14ac:dyDescent="0.25">
      <c r="F709" s="16"/>
    </row>
    <row r="710" spans="6:6" s="15" customFormat="1" ht="15.75" customHeight="1" x14ac:dyDescent="0.25">
      <c r="F710" s="16"/>
    </row>
    <row r="711" spans="6:6" s="15" customFormat="1" ht="15.75" customHeight="1" x14ac:dyDescent="0.25">
      <c r="F711" s="16"/>
    </row>
    <row r="712" spans="6:6" s="15" customFormat="1" ht="15.75" customHeight="1" x14ac:dyDescent="0.25">
      <c r="F712" s="16"/>
    </row>
    <row r="713" spans="6:6" s="15" customFormat="1" ht="15.75" customHeight="1" x14ac:dyDescent="0.25">
      <c r="F713" s="16"/>
    </row>
    <row r="714" spans="6:6" s="15" customFormat="1" ht="15.75" customHeight="1" x14ac:dyDescent="0.25">
      <c r="F714" s="16"/>
    </row>
    <row r="715" spans="6:6" s="15" customFormat="1" ht="15.75" customHeight="1" x14ac:dyDescent="0.25">
      <c r="F715" s="16"/>
    </row>
    <row r="716" spans="6:6" s="15" customFormat="1" ht="15.75" customHeight="1" x14ac:dyDescent="0.25">
      <c r="F716" s="16"/>
    </row>
    <row r="717" spans="6:6" s="15" customFormat="1" ht="15.75" customHeight="1" x14ac:dyDescent="0.25">
      <c r="F717" s="16"/>
    </row>
    <row r="718" spans="6:6" s="15" customFormat="1" ht="15.75" customHeight="1" x14ac:dyDescent="0.25">
      <c r="F718" s="16"/>
    </row>
    <row r="719" spans="6:6" s="15" customFormat="1" ht="15.75" customHeight="1" x14ac:dyDescent="0.25">
      <c r="F719" s="16"/>
    </row>
    <row r="720" spans="6:6" s="15" customFormat="1" ht="15.75" customHeight="1" x14ac:dyDescent="0.25">
      <c r="F720" s="16"/>
    </row>
    <row r="721" spans="6:6" s="15" customFormat="1" ht="15.75" customHeight="1" x14ac:dyDescent="0.25">
      <c r="F721" s="16"/>
    </row>
    <row r="722" spans="6:6" s="15" customFormat="1" ht="15.75" customHeight="1" x14ac:dyDescent="0.25">
      <c r="F722" s="16"/>
    </row>
    <row r="723" spans="6:6" s="15" customFormat="1" ht="15.75" customHeight="1" x14ac:dyDescent="0.25">
      <c r="F723" s="16"/>
    </row>
    <row r="724" spans="6:6" s="15" customFormat="1" ht="15.75" customHeight="1" x14ac:dyDescent="0.25">
      <c r="F724" s="16"/>
    </row>
    <row r="725" spans="6:6" s="15" customFormat="1" ht="15.75" customHeight="1" x14ac:dyDescent="0.25">
      <c r="F725" s="16"/>
    </row>
    <row r="726" spans="6:6" s="15" customFormat="1" ht="15.75" customHeight="1" x14ac:dyDescent="0.25">
      <c r="F726" s="16"/>
    </row>
    <row r="727" spans="6:6" s="15" customFormat="1" ht="15.75" customHeight="1" x14ac:dyDescent="0.25">
      <c r="F727" s="16"/>
    </row>
    <row r="728" spans="6:6" s="15" customFormat="1" ht="15.75" customHeight="1" x14ac:dyDescent="0.25">
      <c r="F728" s="16"/>
    </row>
    <row r="729" spans="6:6" s="15" customFormat="1" ht="15.75" customHeight="1" x14ac:dyDescent="0.25">
      <c r="F729" s="16"/>
    </row>
    <row r="730" spans="6:6" s="15" customFormat="1" ht="15.75" customHeight="1" x14ac:dyDescent="0.25">
      <c r="F730" s="16"/>
    </row>
    <row r="731" spans="6:6" s="15" customFormat="1" ht="15.75" customHeight="1" x14ac:dyDescent="0.25">
      <c r="F731" s="16"/>
    </row>
    <row r="732" spans="6:6" s="15" customFormat="1" ht="15.75" customHeight="1" x14ac:dyDescent="0.25">
      <c r="F732" s="16"/>
    </row>
    <row r="733" spans="6:6" s="15" customFormat="1" ht="15.75" customHeight="1" x14ac:dyDescent="0.25">
      <c r="F733" s="16"/>
    </row>
    <row r="734" spans="6:6" s="15" customFormat="1" ht="15.75" customHeight="1" x14ac:dyDescent="0.25">
      <c r="F734" s="16"/>
    </row>
    <row r="735" spans="6:6" s="15" customFormat="1" ht="15.75" customHeight="1" x14ac:dyDescent="0.25">
      <c r="F735" s="16"/>
    </row>
    <row r="736" spans="6:6" s="15" customFormat="1" ht="15.75" customHeight="1" x14ac:dyDescent="0.25">
      <c r="F736" s="16"/>
    </row>
    <row r="737" spans="6:6" s="15" customFormat="1" ht="15.75" customHeight="1" x14ac:dyDescent="0.25">
      <c r="F737" s="16"/>
    </row>
    <row r="738" spans="6:6" s="15" customFormat="1" ht="15.75" customHeight="1" x14ac:dyDescent="0.25">
      <c r="F738" s="16"/>
    </row>
    <row r="739" spans="6:6" s="15" customFormat="1" ht="15.75" customHeight="1" x14ac:dyDescent="0.25">
      <c r="F739" s="16"/>
    </row>
    <row r="740" spans="6:6" s="15" customFormat="1" ht="15.75" customHeight="1" x14ac:dyDescent="0.25">
      <c r="F740" s="16"/>
    </row>
    <row r="741" spans="6:6" s="15" customFormat="1" ht="15.75" customHeight="1" x14ac:dyDescent="0.25">
      <c r="F741" s="16"/>
    </row>
    <row r="742" spans="6:6" s="15" customFormat="1" ht="15.75" customHeight="1" x14ac:dyDescent="0.25">
      <c r="F742" s="16"/>
    </row>
    <row r="743" spans="6:6" s="15" customFormat="1" ht="15.75" customHeight="1" x14ac:dyDescent="0.25">
      <c r="F743" s="16"/>
    </row>
    <row r="744" spans="6:6" s="15" customFormat="1" ht="15.75" customHeight="1" x14ac:dyDescent="0.25">
      <c r="F744" s="16"/>
    </row>
    <row r="745" spans="6:6" s="15" customFormat="1" ht="15.75" customHeight="1" x14ac:dyDescent="0.25">
      <c r="F745" s="16"/>
    </row>
    <row r="746" spans="6:6" s="15" customFormat="1" ht="15.75" customHeight="1" x14ac:dyDescent="0.25">
      <c r="F746" s="16"/>
    </row>
    <row r="747" spans="6:6" s="15" customFormat="1" ht="15.75" customHeight="1" x14ac:dyDescent="0.25">
      <c r="F747" s="16"/>
    </row>
    <row r="748" spans="6:6" s="15" customFormat="1" ht="15.75" customHeight="1" x14ac:dyDescent="0.25">
      <c r="F748" s="16"/>
    </row>
    <row r="749" spans="6:6" s="15" customFormat="1" ht="15.75" customHeight="1" x14ac:dyDescent="0.25">
      <c r="F749" s="16"/>
    </row>
    <row r="750" spans="6:6" s="15" customFormat="1" ht="15.75" customHeight="1" x14ac:dyDescent="0.25">
      <c r="F750" s="16"/>
    </row>
    <row r="751" spans="6:6" s="15" customFormat="1" ht="15.75" customHeight="1" x14ac:dyDescent="0.25">
      <c r="F751" s="16"/>
    </row>
    <row r="752" spans="6:6" s="15" customFormat="1" ht="15.75" customHeight="1" x14ac:dyDescent="0.25">
      <c r="F752" s="16"/>
    </row>
    <row r="753" spans="6:6" s="15" customFormat="1" ht="15.75" customHeight="1" x14ac:dyDescent="0.25">
      <c r="F753" s="16"/>
    </row>
    <row r="754" spans="6:6" s="15" customFormat="1" ht="15.75" customHeight="1" x14ac:dyDescent="0.25">
      <c r="F754" s="16"/>
    </row>
    <row r="755" spans="6:6" s="15" customFormat="1" ht="15.75" customHeight="1" x14ac:dyDescent="0.25">
      <c r="F755" s="16"/>
    </row>
    <row r="756" spans="6:6" s="15" customFormat="1" ht="15.75" customHeight="1" x14ac:dyDescent="0.25">
      <c r="F756" s="16"/>
    </row>
    <row r="757" spans="6:6" s="15" customFormat="1" ht="15.75" customHeight="1" x14ac:dyDescent="0.25">
      <c r="F757" s="16"/>
    </row>
    <row r="758" spans="6:6" s="15" customFormat="1" ht="15.75" customHeight="1" x14ac:dyDescent="0.25">
      <c r="F758" s="16"/>
    </row>
    <row r="759" spans="6:6" s="15" customFormat="1" ht="15.75" customHeight="1" x14ac:dyDescent="0.25">
      <c r="F759" s="16"/>
    </row>
    <row r="760" spans="6:6" s="15" customFormat="1" ht="15.75" customHeight="1" x14ac:dyDescent="0.25">
      <c r="F760" s="16"/>
    </row>
    <row r="761" spans="6:6" s="15" customFormat="1" ht="15.75" customHeight="1" x14ac:dyDescent="0.25">
      <c r="F761" s="16"/>
    </row>
    <row r="762" spans="6:6" s="15" customFormat="1" ht="15.75" customHeight="1" x14ac:dyDescent="0.25">
      <c r="F762" s="16"/>
    </row>
    <row r="763" spans="6:6" s="15" customFormat="1" ht="15.75" customHeight="1" x14ac:dyDescent="0.25">
      <c r="F763" s="16"/>
    </row>
    <row r="764" spans="6:6" s="15" customFormat="1" ht="15.75" customHeight="1" x14ac:dyDescent="0.25">
      <c r="F764" s="16"/>
    </row>
    <row r="765" spans="6:6" s="15" customFormat="1" ht="15.75" customHeight="1" x14ac:dyDescent="0.25">
      <c r="F765" s="16"/>
    </row>
    <row r="766" spans="6:6" s="15" customFormat="1" ht="15.75" customHeight="1" x14ac:dyDescent="0.25">
      <c r="F766" s="16"/>
    </row>
    <row r="767" spans="6:6" s="15" customFormat="1" ht="15.75" customHeight="1" x14ac:dyDescent="0.25">
      <c r="F767" s="16"/>
    </row>
    <row r="768" spans="6:6" s="15" customFormat="1" ht="15.75" customHeight="1" x14ac:dyDescent="0.25">
      <c r="F768" s="16"/>
    </row>
    <row r="769" spans="6:6" s="15" customFormat="1" ht="15.75" customHeight="1" x14ac:dyDescent="0.25">
      <c r="F769" s="16"/>
    </row>
    <row r="770" spans="6:6" s="15" customFormat="1" ht="15.75" customHeight="1" x14ac:dyDescent="0.25">
      <c r="F770" s="16"/>
    </row>
    <row r="771" spans="6:6" s="15" customFormat="1" ht="15.75" customHeight="1" x14ac:dyDescent="0.25">
      <c r="F771" s="16"/>
    </row>
    <row r="772" spans="6:6" s="15" customFormat="1" ht="15.75" customHeight="1" x14ac:dyDescent="0.25">
      <c r="F772" s="16"/>
    </row>
    <row r="773" spans="6:6" s="15" customFormat="1" ht="15.75" customHeight="1" x14ac:dyDescent="0.25">
      <c r="F773" s="16"/>
    </row>
    <row r="774" spans="6:6" s="15" customFormat="1" ht="15.75" customHeight="1" x14ac:dyDescent="0.25">
      <c r="F774" s="16"/>
    </row>
    <row r="775" spans="6:6" s="15" customFormat="1" ht="15.75" customHeight="1" x14ac:dyDescent="0.25">
      <c r="F775" s="16"/>
    </row>
    <row r="776" spans="6:6" s="15" customFormat="1" ht="15.75" customHeight="1" x14ac:dyDescent="0.25">
      <c r="F776" s="16"/>
    </row>
    <row r="777" spans="6:6" s="15" customFormat="1" ht="15.75" customHeight="1" x14ac:dyDescent="0.25">
      <c r="F777" s="16"/>
    </row>
    <row r="778" spans="6:6" s="15" customFormat="1" ht="15.75" customHeight="1" x14ac:dyDescent="0.25">
      <c r="F778" s="16"/>
    </row>
    <row r="779" spans="6:6" s="15" customFormat="1" ht="15.75" customHeight="1" x14ac:dyDescent="0.25">
      <c r="F779" s="16"/>
    </row>
    <row r="780" spans="6:6" s="15" customFormat="1" ht="15.75" customHeight="1" x14ac:dyDescent="0.25">
      <c r="F780" s="16"/>
    </row>
    <row r="781" spans="6:6" s="15" customFormat="1" ht="15.75" customHeight="1" x14ac:dyDescent="0.25">
      <c r="F781" s="16"/>
    </row>
    <row r="782" spans="6:6" s="15" customFormat="1" ht="15.75" customHeight="1" x14ac:dyDescent="0.25">
      <c r="F782" s="16"/>
    </row>
    <row r="783" spans="6:6" s="15" customFormat="1" ht="15.75" customHeight="1" x14ac:dyDescent="0.25">
      <c r="F783" s="16"/>
    </row>
    <row r="784" spans="6:6" s="15" customFormat="1" ht="15.75" customHeight="1" x14ac:dyDescent="0.25">
      <c r="F784" s="16"/>
    </row>
    <row r="785" spans="6:6" s="15" customFormat="1" ht="15.75" customHeight="1" x14ac:dyDescent="0.25">
      <c r="F785" s="16"/>
    </row>
    <row r="786" spans="6:6" s="15" customFormat="1" ht="15.75" customHeight="1" x14ac:dyDescent="0.25">
      <c r="F786" s="16"/>
    </row>
    <row r="787" spans="6:6" s="15" customFormat="1" ht="15.75" customHeight="1" x14ac:dyDescent="0.25">
      <c r="F787" s="16"/>
    </row>
    <row r="788" spans="6:6" s="15" customFormat="1" ht="15.75" customHeight="1" x14ac:dyDescent="0.25">
      <c r="F788" s="16"/>
    </row>
    <row r="789" spans="6:6" s="15" customFormat="1" ht="15.75" customHeight="1" x14ac:dyDescent="0.25">
      <c r="F789" s="16"/>
    </row>
    <row r="790" spans="6:6" s="15" customFormat="1" ht="15.75" customHeight="1" x14ac:dyDescent="0.25">
      <c r="F790" s="16"/>
    </row>
    <row r="791" spans="6:6" s="15" customFormat="1" ht="15.75" customHeight="1" x14ac:dyDescent="0.25">
      <c r="F791" s="16"/>
    </row>
    <row r="792" spans="6:6" s="15" customFormat="1" ht="15.75" customHeight="1" x14ac:dyDescent="0.25">
      <c r="F792" s="16"/>
    </row>
    <row r="793" spans="6:6" s="15" customFormat="1" ht="15.75" customHeight="1" x14ac:dyDescent="0.25">
      <c r="F793" s="16"/>
    </row>
    <row r="794" spans="6:6" s="15" customFormat="1" ht="15.75" customHeight="1" x14ac:dyDescent="0.25">
      <c r="F794" s="16"/>
    </row>
    <row r="795" spans="6:6" s="15" customFormat="1" ht="15.75" customHeight="1" x14ac:dyDescent="0.25">
      <c r="F795" s="16"/>
    </row>
    <row r="796" spans="6:6" s="15" customFormat="1" ht="15.75" customHeight="1" x14ac:dyDescent="0.25">
      <c r="F796" s="16"/>
    </row>
    <row r="797" spans="6:6" s="15" customFormat="1" ht="15.75" customHeight="1" x14ac:dyDescent="0.25">
      <c r="F797" s="16"/>
    </row>
    <row r="798" spans="6:6" s="15" customFormat="1" ht="15.75" customHeight="1" x14ac:dyDescent="0.25">
      <c r="F798" s="16"/>
    </row>
    <row r="799" spans="6:6" s="15" customFormat="1" ht="15.75" customHeight="1" x14ac:dyDescent="0.25">
      <c r="F799" s="16"/>
    </row>
    <row r="800" spans="6:6" s="15" customFormat="1" ht="15.75" customHeight="1" x14ac:dyDescent="0.25">
      <c r="F800" s="16"/>
    </row>
    <row r="801" spans="6:6" s="15" customFormat="1" ht="15.75" customHeight="1" x14ac:dyDescent="0.25">
      <c r="F801" s="16"/>
    </row>
    <row r="802" spans="6:6" s="15" customFormat="1" ht="15.75" customHeight="1" x14ac:dyDescent="0.25">
      <c r="F802" s="16"/>
    </row>
    <row r="803" spans="6:6" s="15" customFormat="1" ht="15.75" customHeight="1" x14ac:dyDescent="0.25">
      <c r="F803" s="16"/>
    </row>
    <row r="804" spans="6:6" s="15" customFormat="1" ht="15.75" customHeight="1" x14ac:dyDescent="0.25">
      <c r="F804" s="16"/>
    </row>
    <row r="805" spans="6:6" s="15" customFormat="1" ht="15.75" customHeight="1" x14ac:dyDescent="0.25">
      <c r="F805" s="16"/>
    </row>
    <row r="806" spans="6:6" s="15" customFormat="1" ht="15.75" customHeight="1" x14ac:dyDescent="0.25">
      <c r="F806" s="16"/>
    </row>
    <row r="807" spans="6:6" s="15" customFormat="1" ht="15.75" customHeight="1" x14ac:dyDescent="0.25">
      <c r="F807" s="16"/>
    </row>
    <row r="808" spans="6:6" s="15" customFormat="1" ht="15.75" customHeight="1" x14ac:dyDescent="0.25">
      <c r="F808" s="16"/>
    </row>
    <row r="809" spans="6:6" ht="15.75" customHeight="1" x14ac:dyDescent="0.25">
      <c r="F809" s="1"/>
    </row>
  </sheetData>
  <phoneticPr fontId="1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0"/>
  <sheetViews>
    <sheetView workbookViewId="0">
      <selection activeCell="C8" sqref="C8"/>
    </sheetView>
  </sheetViews>
  <sheetFormatPr baseColWidth="10" defaultColWidth="14.42578125" defaultRowHeight="15" customHeight="1" x14ac:dyDescent="0.25"/>
  <cols>
    <col min="1" max="1" width="12.28515625" style="15" customWidth="1"/>
    <col min="2" max="2" width="6.140625" style="15" customWidth="1"/>
    <col min="3" max="3" width="28.7109375" style="37" customWidth="1"/>
    <col min="4" max="4" width="14.7109375" style="15" customWidth="1"/>
    <col min="5" max="5" width="12.28515625" style="15" customWidth="1"/>
    <col min="6" max="6" width="18.7109375" style="15" customWidth="1"/>
    <col min="7" max="7" width="12.28515625" style="15" customWidth="1"/>
    <col min="8" max="8" width="12.5703125" style="15" customWidth="1"/>
    <col min="9" max="26" width="12.28515625" style="15" customWidth="1"/>
    <col min="27" max="16384" width="14.42578125" style="15"/>
  </cols>
  <sheetData>
    <row r="1" spans="1:26" ht="16.5" customHeight="1" x14ac:dyDescent="0.3">
      <c r="A1" s="34"/>
      <c r="B1" s="30"/>
      <c r="C1" s="29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6.5" customHeight="1" thickBot="1" x14ac:dyDescent="0.35">
      <c r="A2" s="34"/>
      <c r="B2" s="30"/>
      <c r="C2" s="29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6.5" customHeight="1" thickBot="1" x14ac:dyDescent="0.35">
      <c r="A3" s="34"/>
      <c r="B3" s="167" t="s">
        <v>4</v>
      </c>
      <c r="C3" s="168"/>
      <c r="D3" s="169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31.5" customHeight="1" x14ac:dyDescent="0.3">
      <c r="A4" s="34"/>
      <c r="B4" s="9" t="s">
        <v>5</v>
      </c>
      <c r="C4" s="9" t="s">
        <v>6</v>
      </c>
      <c r="D4" s="28" t="s">
        <v>7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6.5" customHeight="1" x14ac:dyDescent="0.3">
      <c r="A5" s="34"/>
      <c r="B5" s="35">
        <v>1</v>
      </c>
      <c r="C5" s="36" t="str">
        <f>Datos!K23</f>
        <v xml:space="preserve">Pica extremo </v>
      </c>
      <c r="D5" s="47">
        <v>130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6.5" customHeight="1" x14ac:dyDescent="0.3">
      <c r="A6" s="34"/>
      <c r="B6" s="35">
        <v>2</v>
      </c>
      <c r="C6" s="36" t="str">
        <f>Datos!K24</f>
        <v>Pica rico</v>
      </c>
      <c r="D6" s="47">
        <v>130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6.5" customHeight="1" x14ac:dyDescent="0.3">
      <c r="A7" s="34"/>
      <c r="B7" s="35">
        <v>3</v>
      </c>
      <c r="C7" s="36" t="str">
        <f>Datos!K25</f>
        <v>Pica suave</v>
      </c>
      <c r="D7" s="47">
        <v>130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6.5" customHeight="1" x14ac:dyDescent="0.3">
      <c r="A8" s="34"/>
      <c r="B8" s="35">
        <v>4</v>
      </c>
      <c r="C8" s="36" t="s">
        <v>130</v>
      </c>
      <c r="D8" s="47">
        <v>180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6.5" customHeight="1" x14ac:dyDescent="0.3">
      <c r="A9" s="34"/>
      <c r="B9" s="38">
        <v>5</v>
      </c>
      <c r="C9" s="36" t="s">
        <v>155</v>
      </c>
      <c r="D9" s="90">
        <v>70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6.5" customHeight="1" x14ac:dyDescent="0.3">
      <c r="A10" s="34"/>
      <c r="B10" s="35">
        <v>6</v>
      </c>
      <c r="C10" s="36" t="s">
        <v>156</v>
      </c>
      <c r="D10" s="47">
        <v>70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6.5" customHeight="1" x14ac:dyDescent="0.3">
      <c r="A11" s="34"/>
      <c r="B11" s="38">
        <v>7</v>
      </c>
      <c r="C11" s="36" t="s">
        <v>157</v>
      </c>
      <c r="D11" s="47">
        <v>70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6.5" customHeight="1" x14ac:dyDescent="0.3">
      <c r="A12" s="34"/>
      <c r="B12" s="38"/>
      <c r="C12" s="29"/>
      <c r="D12" s="39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6.5" customHeight="1" x14ac:dyDescent="0.3">
      <c r="A13" s="34"/>
      <c r="B13" s="38"/>
      <c r="C13" s="29"/>
      <c r="D13" s="39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6.5" customHeight="1" x14ac:dyDescent="0.3">
      <c r="A14" s="34"/>
      <c r="B14" s="38"/>
      <c r="C14" s="29"/>
      <c r="D14" s="39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6.5" customHeight="1" x14ac:dyDescent="0.3">
      <c r="A15" s="34"/>
      <c r="B15" s="38"/>
      <c r="C15" s="29"/>
      <c r="D15" s="39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.5" customHeight="1" x14ac:dyDescent="0.3">
      <c r="A16" s="34"/>
      <c r="B16" s="38"/>
      <c r="C16" s="29"/>
      <c r="D16" s="39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6.5" customHeight="1" x14ac:dyDescent="0.3">
      <c r="A17" s="34"/>
      <c r="B17" s="38"/>
      <c r="C17" s="29"/>
      <c r="D17" s="39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6.5" customHeight="1" x14ac:dyDescent="0.3">
      <c r="A18" s="34"/>
      <c r="B18" s="38"/>
      <c r="C18" s="29"/>
      <c r="D18" s="39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6.5" customHeight="1" x14ac:dyDescent="0.3">
      <c r="A19" s="34"/>
      <c r="B19" s="38"/>
      <c r="C19" s="29"/>
      <c r="D19" s="39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6.5" customHeight="1" x14ac:dyDescent="0.3">
      <c r="A20" s="34"/>
      <c r="B20" s="38"/>
      <c r="C20" s="29"/>
      <c r="D20" s="39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6.5" customHeight="1" x14ac:dyDescent="0.3">
      <c r="A21" s="34"/>
      <c r="B21" s="38"/>
      <c r="C21" s="29"/>
      <c r="D21" s="39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6.5" customHeight="1" x14ac:dyDescent="0.3">
      <c r="A22" s="34"/>
      <c r="B22" s="38"/>
      <c r="C22" s="29"/>
      <c r="D22" s="39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6.5" customHeight="1" x14ac:dyDescent="0.3">
      <c r="A23" s="34"/>
      <c r="B23" s="38"/>
      <c r="C23" s="29"/>
      <c r="D23" s="39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6.5" customHeight="1" x14ac:dyDescent="0.3">
      <c r="A24" s="34"/>
      <c r="B24" s="38"/>
      <c r="C24" s="29"/>
      <c r="D24" s="39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6.5" customHeight="1" x14ac:dyDescent="0.3">
      <c r="A25" s="34"/>
      <c r="B25" s="30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6.5" customHeight="1" x14ac:dyDescent="0.3">
      <c r="A26" s="34"/>
      <c r="B26" s="30"/>
      <c r="C26" s="29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6.5" customHeight="1" x14ac:dyDescent="0.3">
      <c r="A27" s="34"/>
      <c r="B27" s="30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6.5" customHeight="1" x14ac:dyDescent="0.3">
      <c r="A28" s="34"/>
      <c r="B28" s="30"/>
      <c r="C28" s="2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6.5" customHeight="1" x14ac:dyDescent="0.3">
      <c r="A29" s="34"/>
      <c r="B29" s="30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6.5" customHeight="1" x14ac:dyDescent="0.3">
      <c r="A30" s="34"/>
      <c r="B30" s="30"/>
      <c r="C30" s="29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6.5" customHeight="1" x14ac:dyDescent="0.3">
      <c r="A31" s="34"/>
      <c r="B31" s="30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6.5" customHeight="1" x14ac:dyDescent="0.3">
      <c r="A32" s="34"/>
      <c r="B32" s="30"/>
      <c r="C32" s="29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6.5" customHeight="1" x14ac:dyDescent="0.3">
      <c r="A33" s="34"/>
      <c r="B33" s="30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6.5" customHeight="1" x14ac:dyDescent="0.3">
      <c r="A34" s="34"/>
      <c r="B34" s="30"/>
      <c r="C34" s="29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6.5" customHeight="1" x14ac:dyDescent="0.3">
      <c r="A35" s="34"/>
      <c r="B35" s="30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6.5" customHeight="1" x14ac:dyDescent="0.3">
      <c r="A36" s="34"/>
      <c r="B36" s="30"/>
      <c r="C36" s="29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6.5" customHeight="1" x14ac:dyDescent="0.3">
      <c r="A37" s="34"/>
      <c r="B37" s="30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6.5" customHeight="1" x14ac:dyDescent="0.3">
      <c r="A38" s="34"/>
      <c r="B38" s="30"/>
      <c r="C38" s="29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6.5" customHeight="1" x14ac:dyDescent="0.3">
      <c r="A39" s="34"/>
      <c r="B39" s="30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6.5" customHeight="1" x14ac:dyDescent="0.3">
      <c r="A40" s="34"/>
      <c r="B40" s="30"/>
      <c r="C40" s="29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6.5" customHeight="1" x14ac:dyDescent="0.3">
      <c r="A41" s="34"/>
      <c r="B41" s="30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6.5" customHeight="1" x14ac:dyDescent="0.3">
      <c r="A42" s="34"/>
      <c r="B42" s="30"/>
      <c r="C42" s="29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6.5" customHeight="1" x14ac:dyDescent="0.3">
      <c r="A43" s="34"/>
      <c r="B43" s="30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6.5" customHeight="1" x14ac:dyDescent="0.3">
      <c r="A44" s="34"/>
      <c r="B44" s="30"/>
      <c r="C44" s="29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6.5" customHeight="1" x14ac:dyDescent="0.3">
      <c r="A45" s="34"/>
      <c r="B45" s="30"/>
      <c r="C45" s="29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6.5" customHeight="1" x14ac:dyDescent="0.3">
      <c r="A46" s="34"/>
      <c r="B46" s="30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6.5" customHeight="1" x14ac:dyDescent="0.3">
      <c r="A47" s="34"/>
      <c r="B47" s="30"/>
      <c r="C47" s="29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6.5" customHeight="1" x14ac:dyDescent="0.3">
      <c r="A48" s="34"/>
      <c r="B48" s="30"/>
      <c r="C48" s="29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6.5" customHeight="1" x14ac:dyDescent="0.3">
      <c r="A49" s="34"/>
      <c r="B49" s="30"/>
      <c r="C49" s="29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6.5" customHeight="1" x14ac:dyDescent="0.3">
      <c r="A50" s="34"/>
      <c r="B50" s="30"/>
      <c r="C50" s="29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6.5" customHeight="1" x14ac:dyDescent="0.3">
      <c r="A51" s="34"/>
      <c r="B51" s="30"/>
      <c r="C51" s="29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6.5" customHeight="1" x14ac:dyDescent="0.3">
      <c r="A52" s="34"/>
      <c r="B52" s="30"/>
      <c r="C52" s="29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6.5" customHeight="1" x14ac:dyDescent="0.3">
      <c r="A53" s="34"/>
      <c r="B53" s="30"/>
      <c r="C53" s="29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6.5" customHeight="1" x14ac:dyDescent="0.3">
      <c r="A54" s="34"/>
      <c r="B54" s="30"/>
      <c r="C54" s="29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6.5" customHeight="1" x14ac:dyDescent="0.3">
      <c r="A55" s="34"/>
      <c r="B55" s="30"/>
      <c r="C55" s="29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6.5" customHeight="1" x14ac:dyDescent="0.3">
      <c r="A56" s="34"/>
      <c r="B56" s="30"/>
      <c r="C56" s="29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6.5" customHeight="1" x14ac:dyDescent="0.3">
      <c r="A57" s="34"/>
      <c r="B57" s="30"/>
      <c r="C57" s="29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6.5" customHeight="1" x14ac:dyDescent="0.3">
      <c r="A58" s="34"/>
      <c r="B58" s="30"/>
      <c r="C58" s="29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6.5" customHeight="1" x14ac:dyDescent="0.3">
      <c r="A59" s="34"/>
      <c r="B59" s="30"/>
      <c r="C59" s="29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6.5" customHeight="1" x14ac:dyDescent="0.3">
      <c r="A60" s="34"/>
      <c r="B60" s="30"/>
      <c r="C60" s="29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6.5" customHeight="1" x14ac:dyDescent="0.3">
      <c r="A61" s="34"/>
      <c r="B61" s="30"/>
      <c r="C61" s="29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6.5" customHeight="1" x14ac:dyDescent="0.3">
      <c r="A62" s="34"/>
      <c r="B62" s="30"/>
      <c r="C62" s="29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6.5" customHeight="1" x14ac:dyDescent="0.3">
      <c r="A63" s="34"/>
      <c r="B63" s="30"/>
      <c r="C63" s="29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6.5" customHeight="1" x14ac:dyDescent="0.3">
      <c r="A64" s="34"/>
      <c r="B64" s="30"/>
      <c r="C64" s="29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6.5" customHeight="1" x14ac:dyDescent="0.3">
      <c r="A65" s="34"/>
      <c r="B65" s="30"/>
      <c r="C65" s="29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6.5" customHeight="1" x14ac:dyDescent="0.3">
      <c r="A66" s="34"/>
      <c r="B66" s="30"/>
      <c r="C66" s="29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6.5" customHeight="1" x14ac:dyDescent="0.3">
      <c r="A67" s="34"/>
      <c r="B67" s="30"/>
      <c r="C67" s="29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6.5" customHeight="1" x14ac:dyDescent="0.3">
      <c r="A68" s="34"/>
      <c r="B68" s="30"/>
      <c r="C68" s="29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6.5" customHeight="1" x14ac:dyDescent="0.3">
      <c r="A69" s="34"/>
      <c r="B69" s="30"/>
      <c r="C69" s="29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6.5" customHeight="1" x14ac:dyDescent="0.3">
      <c r="A70" s="34"/>
      <c r="B70" s="30"/>
      <c r="C70" s="29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6.5" customHeight="1" x14ac:dyDescent="0.3">
      <c r="A71" s="34"/>
      <c r="B71" s="30"/>
      <c r="C71" s="29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6.5" customHeight="1" x14ac:dyDescent="0.3">
      <c r="A72" s="34"/>
      <c r="B72" s="30"/>
      <c r="C72" s="29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6.5" customHeight="1" x14ac:dyDescent="0.3">
      <c r="A73" s="34"/>
      <c r="B73" s="30"/>
      <c r="C73" s="29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6.5" customHeight="1" x14ac:dyDescent="0.3">
      <c r="A74" s="34"/>
      <c r="B74" s="30"/>
      <c r="C74" s="29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6.5" customHeight="1" x14ac:dyDescent="0.3">
      <c r="A75" s="34"/>
      <c r="B75" s="30"/>
      <c r="C75" s="29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6.5" customHeight="1" x14ac:dyDescent="0.3">
      <c r="A76" s="34"/>
      <c r="B76" s="30"/>
      <c r="C76" s="29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6.5" customHeight="1" x14ac:dyDescent="0.3">
      <c r="A77" s="34"/>
      <c r="B77" s="30"/>
      <c r="C77" s="29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6.5" customHeight="1" x14ac:dyDescent="0.3">
      <c r="A78" s="34"/>
      <c r="B78" s="30"/>
      <c r="C78" s="29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6.5" customHeight="1" x14ac:dyDescent="0.3">
      <c r="A79" s="34"/>
      <c r="B79" s="30"/>
      <c r="C79" s="29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6.5" customHeight="1" x14ac:dyDescent="0.3">
      <c r="A80" s="34"/>
      <c r="B80" s="30"/>
      <c r="C80" s="29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6.5" customHeight="1" x14ac:dyDescent="0.3">
      <c r="A81" s="34"/>
      <c r="B81" s="30"/>
      <c r="C81" s="29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6.5" customHeight="1" x14ac:dyDescent="0.3">
      <c r="A82" s="34"/>
      <c r="B82" s="30"/>
      <c r="C82" s="29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6.5" customHeight="1" x14ac:dyDescent="0.3">
      <c r="A83" s="34"/>
      <c r="B83" s="30"/>
      <c r="C83" s="29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6.5" customHeight="1" x14ac:dyDescent="0.3">
      <c r="A84" s="34"/>
      <c r="B84" s="30"/>
      <c r="C84" s="29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6.5" customHeight="1" x14ac:dyDescent="0.3">
      <c r="A85" s="34"/>
      <c r="B85" s="30"/>
      <c r="C85" s="29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6.5" customHeight="1" x14ac:dyDescent="0.3">
      <c r="A86" s="34"/>
      <c r="B86" s="30"/>
      <c r="C86" s="29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6.5" customHeight="1" x14ac:dyDescent="0.3">
      <c r="A87" s="34"/>
      <c r="B87" s="30"/>
      <c r="C87" s="29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6.5" customHeight="1" x14ac:dyDescent="0.3">
      <c r="A88" s="34"/>
      <c r="B88" s="30"/>
      <c r="C88" s="29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6.5" customHeight="1" x14ac:dyDescent="0.3">
      <c r="A89" s="34"/>
      <c r="B89" s="30"/>
      <c r="C89" s="29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6.5" customHeight="1" x14ac:dyDescent="0.3">
      <c r="A90" s="34"/>
      <c r="B90" s="30"/>
      <c r="C90" s="29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6.5" customHeight="1" x14ac:dyDescent="0.3">
      <c r="A91" s="34"/>
      <c r="B91" s="30"/>
      <c r="C91" s="29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6.5" customHeight="1" x14ac:dyDescent="0.3">
      <c r="A92" s="34"/>
      <c r="B92" s="30"/>
      <c r="C92" s="29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6.5" customHeight="1" x14ac:dyDescent="0.3">
      <c r="A93" s="34"/>
      <c r="B93" s="30"/>
      <c r="C93" s="29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6.5" customHeight="1" x14ac:dyDescent="0.3">
      <c r="A94" s="34"/>
      <c r="B94" s="30"/>
      <c r="C94" s="29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6.5" customHeight="1" x14ac:dyDescent="0.3">
      <c r="A95" s="34"/>
      <c r="B95" s="30"/>
      <c r="C95" s="29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6.5" customHeight="1" x14ac:dyDescent="0.3">
      <c r="A96" s="34"/>
      <c r="B96" s="30"/>
      <c r="C96" s="29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6.5" customHeight="1" x14ac:dyDescent="0.3">
      <c r="A97" s="34"/>
      <c r="B97" s="30"/>
      <c r="C97" s="29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6.5" customHeight="1" x14ac:dyDescent="0.3">
      <c r="A98" s="34"/>
      <c r="B98" s="30"/>
      <c r="C98" s="29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6.5" customHeight="1" x14ac:dyDescent="0.3">
      <c r="A99" s="34"/>
      <c r="B99" s="30"/>
      <c r="C99" s="29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6.5" customHeight="1" x14ac:dyDescent="0.3">
      <c r="A100" s="34"/>
      <c r="B100" s="30"/>
      <c r="C100" s="29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6.5" customHeight="1" x14ac:dyDescent="0.3">
      <c r="A101" s="34"/>
      <c r="B101" s="30"/>
      <c r="C101" s="29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6.5" customHeight="1" x14ac:dyDescent="0.3">
      <c r="A102" s="34"/>
      <c r="B102" s="30"/>
      <c r="C102" s="29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6.5" customHeight="1" x14ac:dyDescent="0.3">
      <c r="A103" s="34"/>
      <c r="B103" s="30"/>
      <c r="C103" s="29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6.5" customHeight="1" x14ac:dyDescent="0.3">
      <c r="A104" s="34"/>
      <c r="B104" s="30"/>
      <c r="C104" s="29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6.5" customHeight="1" x14ac:dyDescent="0.3">
      <c r="A105" s="34"/>
      <c r="B105" s="30"/>
      <c r="C105" s="29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6.5" customHeight="1" x14ac:dyDescent="0.3">
      <c r="A106" s="34"/>
      <c r="B106" s="30"/>
      <c r="C106" s="29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6.5" customHeight="1" x14ac:dyDescent="0.3">
      <c r="A107" s="34"/>
      <c r="B107" s="30"/>
      <c r="C107" s="29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6.5" customHeight="1" x14ac:dyDescent="0.3">
      <c r="A108" s="34"/>
      <c r="B108" s="30"/>
      <c r="C108" s="29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6.5" customHeight="1" x14ac:dyDescent="0.3">
      <c r="A109" s="34"/>
      <c r="B109" s="30"/>
      <c r="C109" s="29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6.5" customHeight="1" x14ac:dyDescent="0.3">
      <c r="A110" s="34"/>
      <c r="B110" s="30"/>
      <c r="C110" s="29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6.5" customHeight="1" x14ac:dyDescent="0.3">
      <c r="A111" s="34"/>
      <c r="B111" s="30"/>
      <c r="C111" s="29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6.5" customHeight="1" x14ac:dyDescent="0.3">
      <c r="A112" s="34"/>
      <c r="B112" s="30"/>
      <c r="C112" s="29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6.5" customHeight="1" x14ac:dyDescent="0.3">
      <c r="A113" s="34"/>
      <c r="B113" s="30"/>
      <c r="C113" s="29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6.5" customHeight="1" x14ac:dyDescent="0.3">
      <c r="A114" s="34"/>
      <c r="B114" s="30"/>
      <c r="C114" s="29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6.5" customHeight="1" x14ac:dyDescent="0.3">
      <c r="A115" s="34"/>
      <c r="B115" s="30"/>
      <c r="C115" s="29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6.5" customHeight="1" x14ac:dyDescent="0.3">
      <c r="A116" s="34"/>
      <c r="B116" s="30"/>
      <c r="C116" s="29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6.5" customHeight="1" x14ac:dyDescent="0.3">
      <c r="A117" s="34"/>
      <c r="B117" s="30"/>
      <c r="C117" s="29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6.5" customHeight="1" x14ac:dyDescent="0.3">
      <c r="A118" s="34"/>
      <c r="B118" s="30"/>
      <c r="C118" s="29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6.5" customHeight="1" x14ac:dyDescent="0.3">
      <c r="A119" s="34"/>
      <c r="B119" s="30"/>
      <c r="C119" s="29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6.5" customHeight="1" x14ac:dyDescent="0.3">
      <c r="A120" s="34"/>
      <c r="B120" s="30"/>
      <c r="C120" s="29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6.5" customHeight="1" x14ac:dyDescent="0.3">
      <c r="A121" s="34"/>
      <c r="B121" s="30"/>
      <c r="C121" s="29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6.5" customHeight="1" x14ac:dyDescent="0.3">
      <c r="A122" s="34"/>
      <c r="B122" s="30"/>
      <c r="C122" s="29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6.5" customHeight="1" x14ac:dyDescent="0.3">
      <c r="A123" s="34"/>
      <c r="B123" s="30"/>
      <c r="C123" s="29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6.5" customHeight="1" x14ac:dyDescent="0.3">
      <c r="A124" s="34"/>
      <c r="B124" s="30"/>
      <c r="C124" s="29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6.5" customHeight="1" x14ac:dyDescent="0.3">
      <c r="A125" s="34"/>
      <c r="B125" s="30"/>
      <c r="C125" s="29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6.5" customHeight="1" x14ac:dyDescent="0.3">
      <c r="A126" s="34"/>
      <c r="B126" s="30"/>
      <c r="C126" s="29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6.5" customHeight="1" x14ac:dyDescent="0.3">
      <c r="A127" s="34"/>
      <c r="B127" s="30"/>
      <c r="C127" s="29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6.5" customHeight="1" x14ac:dyDescent="0.3">
      <c r="A128" s="34"/>
      <c r="B128" s="30"/>
      <c r="C128" s="29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6.5" customHeight="1" x14ac:dyDescent="0.3">
      <c r="A129" s="34"/>
      <c r="B129" s="30"/>
      <c r="C129" s="29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6.5" customHeight="1" x14ac:dyDescent="0.3">
      <c r="A130" s="34"/>
      <c r="B130" s="30"/>
      <c r="C130" s="29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6.5" customHeight="1" x14ac:dyDescent="0.3">
      <c r="A131" s="34"/>
      <c r="B131" s="30"/>
      <c r="C131" s="29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6.5" customHeight="1" x14ac:dyDescent="0.3">
      <c r="A132" s="34"/>
      <c r="B132" s="30"/>
      <c r="C132" s="29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6.5" customHeight="1" x14ac:dyDescent="0.3">
      <c r="A133" s="34"/>
      <c r="B133" s="30"/>
      <c r="C133" s="29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6.5" customHeight="1" x14ac:dyDescent="0.3">
      <c r="A134" s="34"/>
      <c r="B134" s="30"/>
      <c r="C134" s="29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6.5" customHeight="1" x14ac:dyDescent="0.3">
      <c r="A135" s="34"/>
      <c r="B135" s="30"/>
      <c r="C135" s="29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6.5" customHeight="1" x14ac:dyDescent="0.3">
      <c r="A136" s="34"/>
      <c r="B136" s="30"/>
      <c r="C136" s="29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6.5" customHeight="1" x14ac:dyDescent="0.3">
      <c r="A137" s="34"/>
      <c r="B137" s="30"/>
      <c r="C137" s="29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6.5" customHeight="1" x14ac:dyDescent="0.3">
      <c r="A138" s="34"/>
      <c r="B138" s="30"/>
      <c r="C138" s="29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6.5" customHeight="1" x14ac:dyDescent="0.3">
      <c r="A139" s="34"/>
      <c r="B139" s="30"/>
      <c r="C139" s="29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6.5" customHeight="1" x14ac:dyDescent="0.3">
      <c r="A140" s="34"/>
      <c r="B140" s="30"/>
      <c r="C140" s="29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6.5" customHeight="1" x14ac:dyDescent="0.3">
      <c r="A141" s="34"/>
      <c r="B141" s="30"/>
      <c r="C141" s="29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6.5" customHeight="1" x14ac:dyDescent="0.3">
      <c r="A142" s="34"/>
      <c r="B142" s="30"/>
      <c r="C142" s="29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6.5" customHeight="1" x14ac:dyDescent="0.3">
      <c r="A143" s="34"/>
      <c r="B143" s="30"/>
      <c r="C143" s="29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6.5" customHeight="1" x14ac:dyDescent="0.3">
      <c r="A144" s="34"/>
      <c r="B144" s="30"/>
      <c r="C144" s="29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6.5" customHeight="1" x14ac:dyDescent="0.3">
      <c r="A145" s="34"/>
      <c r="B145" s="30"/>
      <c r="C145" s="29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6.5" customHeight="1" x14ac:dyDescent="0.3">
      <c r="A146" s="34"/>
      <c r="B146" s="30"/>
      <c r="C146" s="29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6.5" customHeight="1" x14ac:dyDescent="0.3">
      <c r="A147" s="34"/>
      <c r="B147" s="30"/>
      <c r="C147" s="29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6.5" customHeight="1" x14ac:dyDescent="0.3">
      <c r="A148" s="34"/>
      <c r="B148" s="30"/>
      <c r="C148" s="29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6.5" customHeight="1" x14ac:dyDescent="0.3">
      <c r="A149" s="34"/>
      <c r="B149" s="30"/>
      <c r="C149" s="29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6.5" customHeight="1" x14ac:dyDescent="0.3">
      <c r="A150" s="34"/>
      <c r="B150" s="30"/>
      <c r="C150" s="29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6.5" customHeight="1" x14ac:dyDescent="0.3">
      <c r="A151" s="34"/>
      <c r="B151" s="30"/>
      <c r="C151" s="29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6.5" customHeight="1" x14ac:dyDescent="0.3">
      <c r="A152" s="34"/>
      <c r="B152" s="30"/>
      <c r="C152" s="29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6.5" customHeight="1" x14ac:dyDescent="0.3">
      <c r="A153" s="34"/>
      <c r="B153" s="30"/>
      <c r="C153" s="29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6.5" customHeight="1" x14ac:dyDescent="0.3">
      <c r="A154" s="34"/>
      <c r="B154" s="30"/>
      <c r="C154" s="29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6.5" customHeight="1" x14ac:dyDescent="0.3">
      <c r="A155" s="34"/>
      <c r="B155" s="30"/>
      <c r="C155" s="29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6.5" customHeight="1" x14ac:dyDescent="0.3">
      <c r="A156" s="34"/>
      <c r="B156" s="30"/>
      <c r="C156" s="29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6.5" customHeight="1" x14ac:dyDescent="0.3">
      <c r="A157" s="34"/>
      <c r="B157" s="30"/>
      <c r="C157" s="29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6.5" customHeight="1" x14ac:dyDescent="0.3">
      <c r="A158" s="34"/>
      <c r="B158" s="30"/>
      <c r="C158" s="29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6.5" customHeight="1" x14ac:dyDescent="0.3">
      <c r="A159" s="34"/>
      <c r="B159" s="30"/>
      <c r="C159" s="29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6.5" customHeight="1" x14ac:dyDescent="0.3">
      <c r="A160" s="34"/>
      <c r="B160" s="30"/>
      <c r="C160" s="29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6.5" customHeight="1" x14ac:dyDescent="0.3">
      <c r="A161" s="34"/>
      <c r="B161" s="30"/>
      <c r="C161" s="29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6.5" customHeight="1" x14ac:dyDescent="0.3">
      <c r="A162" s="34"/>
      <c r="B162" s="30"/>
      <c r="C162" s="29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6.5" customHeight="1" x14ac:dyDescent="0.3">
      <c r="A163" s="34"/>
      <c r="B163" s="30"/>
      <c r="C163" s="29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6.5" customHeight="1" x14ac:dyDescent="0.3">
      <c r="A164" s="34"/>
      <c r="B164" s="30"/>
      <c r="C164" s="29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6.5" customHeight="1" x14ac:dyDescent="0.3">
      <c r="A165" s="34"/>
      <c r="B165" s="30"/>
      <c r="C165" s="29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6.5" customHeight="1" x14ac:dyDescent="0.3">
      <c r="A166" s="34"/>
      <c r="B166" s="30"/>
      <c r="C166" s="29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6.5" customHeight="1" x14ac:dyDescent="0.3">
      <c r="A167" s="34"/>
      <c r="B167" s="30"/>
      <c r="C167" s="29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6.5" customHeight="1" x14ac:dyDescent="0.3">
      <c r="A168" s="34"/>
      <c r="B168" s="30"/>
      <c r="C168" s="29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6.5" customHeight="1" x14ac:dyDescent="0.3">
      <c r="A169" s="34"/>
      <c r="B169" s="30"/>
      <c r="C169" s="29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6.5" customHeight="1" x14ac:dyDescent="0.3">
      <c r="A170" s="34"/>
      <c r="B170" s="30"/>
      <c r="C170" s="29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6.5" customHeight="1" x14ac:dyDescent="0.3">
      <c r="A171" s="34"/>
      <c r="B171" s="30"/>
      <c r="C171" s="29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6.5" customHeight="1" x14ac:dyDescent="0.3">
      <c r="A172" s="34"/>
      <c r="B172" s="30"/>
      <c r="C172" s="29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6.5" customHeight="1" x14ac:dyDescent="0.3">
      <c r="A173" s="34"/>
      <c r="B173" s="30"/>
      <c r="C173" s="29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6.5" customHeight="1" x14ac:dyDescent="0.3">
      <c r="A174" s="34"/>
      <c r="B174" s="30"/>
      <c r="C174" s="29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6.5" customHeight="1" x14ac:dyDescent="0.3">
      <c r="A175" s="34"/>
      <c r="B175" s="30"/>
      <c r="C175" s="29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6.5" customHeight="1" x14ac:dyDescent="0.3">
      <c r="A176" s="34"/>
      <c r="B176" s="30"/>
      <c r="C176" s="29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6.5" customHeight="1" x14ac:dyDescent="0.3">
      <c r="A177" s="34"/>
      <c r="B177" s="30"/>
      <c r="C177" s="29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6.5" customHeight="1" x14ac:dyDescent="0.3">
      <c r="A178" s="34"/>
      <c r="B178" s="30"/>
      <c r="C178" s="29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6.5" customHeight="1" x14ac:dyDescent="0.3">
      <c r="A179" s="34"/>
      <c r="B179" s="30"/>
      <c r="C179" s="29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6.5" customHeight="1" x14ac:dyDescent="0.3">
      <c r="A180" s="34"/>
      <c r="B180" s="30"/>
      <c r="C180" s="29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6.5" customHeight="1" x14ac:dyDescent="0.3">
      <c r="A181" s="34"/>
      <c r="B181" s="30"/>
      <c r="C181" s="29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6.5" customHeight="1" x14ac:dyDescent="0.3">
      <c r="A182" s="34"/>
      <c r="B182" s="30"/>
      <c r="C182" s="29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6.5" customHeight="1" x14ac:dyDescent="0.3">
      <c r="A183" s="34"/>
      <c r="B183" s="30"/>
      <c r="C183" s="29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6.5" customHeight="1" x14ac:dyDescent="0.3">
      <c r="A184" s="34"/>
      <c r="B184" s="30"/>
      <c r="C184" s="29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6.5" customHeight="1" x14ac:dyDescent="0.3">
      <c r="A185" s="34"/>
      <c r="B185" s="30"/>
      <c r="C185" s="29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6.5" customHeight="1" x14ac:dyDescent="0.3">
      <c r="A186" s="34"/>
      <c r="B186" s="30"/>
      <c r="C186" s="29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6.5" customHeight="1" x14ac:dyDescent="0.3">
      <c r="A187" s="34"/>
      <c r="B187" s="30"/>
      <c r="C187" s="29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6.5" customHeight="1" x14ac:dyDescent="0.3">
      <c r="A188" s="34"/>
      <c r="B188" s="30"/>
      <c r="C188" s="29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6.5" customHeight="1" x14ac:dyDescent="0.3">
      <c r="A189" s="34"/>
      <c r="B189" s="30"/>
      <c r="C189" s="29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6.5" customHeight="1" x14ac:dyDescent="0.3">
      <c r="A190" s="34"/>
      <c r="B190" s="30"/>
      <c r="C190" s="29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6.5" customHeight="1" x14ac:dyDescent="0.3">
      <c r="A191" s="34"/>
      <c r="B191" s="30"/>
      <c r="C191" s="29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6.5" customHeight="1" x14ac:dyDescent="0.3">
      <c r="A192" s="34"/>
      <c r="B192" s="30"/>
      <c r="C192" s="29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6.5" customHeight="1" x14ac:dyDescent="0.3">
      <c r="A193" s="34"/>
      <c r="B193" s="30"/>
      <c r="C193" s="29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6.5" customHeight="1" x14ac:dyDescent="0.3">
      <c r="A194" s="34"/>
      <c r="B194" s="30"/>
      <c r="C194" s="29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6.5" customHeight="1" x14ac:dyDescent="0.3">
      <c r="A195" s="34"/>
      <c r="B195" s="30"/>
      <c r="C195" s="29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6.5" customHeight="1" x14ac:dyDescent="0.3">
      <c r="A196" s="34"/>
      <c r="B196" s="30"/>
      <c r="C196" s="29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6.5" customHeight="1" x14ac:dyDescent="0.3">
      <c r="A197" s="34"/>
      <c r="B197" s="30"/>
      <c r="C197" s="29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6.5" customHeight="1" x14ac:dyDescent="0.3">
      <c r="A198" s="34"/>
      <c r="B198" s="30"/>
      <c r="C198" s="29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6.5" customHeight="1" x14ac:dyDescent="0.3">
      <c r="A199" s="34"/>
      <c r="B199" s="30"/>
      <c r="C199" s="29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6.5" customHeight="1" x14ac:dyDescent="0.3">
      <c r="A200" s="34"/>
      <c r="B200" s="30"/>
      <c r="C200" s="29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6.5" customHeight="1" x14ac:dyDescent="0.3">
      <c r="A201" s="34"/>
      <c r="B201" s="30"/>
      <c r="C201" s="29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6.5" customHeight="1" x14ac:dyDescent="0.3">
      <c r="A202" s="34"/>
      <c r="B202" s="30"/>
      <c r="C202" s="29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6.5" customHeight="1" x14ac:dyDescent="0.3">
      <c r="A203" s="34"/>
      <c r="B203" s="30"/>
      <c r="C203" s="29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6.5" customHeight="1" x14ac:dyDescent="0.3">
      <c r="A204" s="34"/>
      <c r="B204" s="30"/>
      <c r="C204" s="29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6.5" customHeight="1" x14ac:dyDescent="0.3">
      <c r="A205" s="34"/>
      <c r="B205" s="30"/>
      <c r="C205" s="29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6.5" customHeight="1" x14ac:dyDescent="0.3">
      <c r="A206" s="34"/>
      <c r="B206" s="30"/>
      <c r="C206" s="29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6.5" customHeight="1" x14ac:dyDescent="0.3">
      <c r="A207" s="34"/>
      <c r="B207" s="30"/>
      <c r="C207" s="29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6.5" customHeight="1" x14ac:dyDescent="0.3">
      <c r="A208" s="34"/>
      <c r="B208" s="30"/>
      <c r="C208" s="29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6.5" customHeight="1" x14ac:dyDescent="0.3">
      <c r="A209" s="34"/>
      <c r="B209" s="30"/>
      <c r="C209" s="29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6.5" customHeight="1" x14ac:dyDescent="0.3">
      <c r="A210" s="34"/>
      <c r="B210" s="30"/>
      <c r="C210" s="29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6.5" customHeight="1" x14ac:dyDescent="0.3">
      <c r="A211" s="34"/>
      <c r="B211" s="30"/>
      <c r="C211" s="29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6.5" customHeight="1" x14ac:dyDescent="0.3">
      <c r="A212" s="34"/>
      <c r="B212" s="30"/>
      <c r="C212" s="29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6.5" customHeight="1" x14ac:dyDescent="0.3">
      <c r="A213" s="34"/>
      <c r="B213" s="30"/>
      <c r="C213" s="29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6.5" customHeight="1" x14ac:dyDescent="0.3">
      <c r="A214" s="34"/>
      <c r="B214" s="30"/>
      <c r="C214" s="29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6.5" customHeight="1" x14ac:dyDescent="0.3">
      <c r="A215" s="34"/>
      <c r="B215" s="30"/>
      <c r="C215" s="29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6.5" customHeight="1" x14ac:dyDescent="0.3">
      <c r="A216" s="34"/>
      <c r="B216" s="30"/>
      <c r="C216" s="29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6.5" customHeight="1" x14ac:dyDescent="0.3">
      <c r="A217" s="34"/>
      <c r="B217" s="30"/>
      <c r="C217" s="29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6.5" customHeight="1" x14ac:dyDescent="0.3">
      <c r="A218" s="34"/>
      <c r="B218" s="30"/>
      <c r="C218" s="29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6.5" customHeight="1" x14ac:dyDescent="0.3">
      <c r="A219" s="34"/>
      <c r="B219" s="30"/>
      <c r="C219" s="29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6.5" customHeight="1" x14ac:dyDescent="0.3">
      <c r="A220" s="34"/>
      <c r="B220" s="30"/>
      <c r="C220" s="29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6.5" customHeight="1" x14ac:dyDescent="0.3">
      <c r="A221" s="34"/>
      <c r="B221" s="30"/>
      <c r="C221" s="29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6.5" customHeight="1" x14ac:dyDescent="0.3">
      <c r="A222" s="34"/>
      <c r="B222" s="30"/>
      <c r="C222" s="29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6.5" customHeight="1" x14ac:dyDescent="0.3">
      <c r="A223" s="34"/>
      <c r="B223" s="30"/>
      <c r="C223" s="29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6.5" customHeight="1" x14ac:dyDescent="0.3">
      <c r="A224" s="34"/>
      <c r="B224" s="30"/>
      <c r="C224" s="29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6.5" customHeight="1" x14ac:dyDescent="0.3">
      <c r="A225" s="34"/>
      <c r="B225" s="30"/>
      <c r="C225" s="29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6.5" customHeight="1" x14ac:dyDescent="0.3">
      <c r="A226" s="34"/>
      <c r="B226" s="30"/>
      <c r="C226" s="29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6.5" customHeight="1" x14ac:dyDescent="0.3">
      <c r="A227" s="34"/>
      <c r="B227" s="30"/>
      <c r="C227" s="29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6.5" customHeight="1" x14ac:dyDescent="0.3">
      <c r="A228" s="34"/>
      <c r="B228" s="30"/>
      <c r="C228" s="29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6.5" customHeight="1" x14ac:dyDescent="0.3">
      <c r="A229" s="34"/>
      <c r="B229" s="30"/>
      <c r="C229" s="29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6.5" customHeight="1" x14ac:dyDescent="0.3">
      <c r="A230" s="34"/>
      <c r="B230" s="30"/>
      <c r="C230" s="29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6.5" customHeight="1" x14ac:dyDescent="0.3">
      <c r="A231" s="34"/>
      <c r="B231" s="30"/>
      <c r="C231" s="29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6.5" customHeight="1" x14ac:dyDescent="0.3">
      <c r="A232" s="34"/>
      <c r="B232" s="30"/>
      <c r="C232" s="29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6.5" customHeight="1" x14ac:dyDescent="0.3">
      <c r="A233" s="34"/>
      <c r="B233" s="30"/>
      <c r="C233" s="29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6.5" customHeight="1" x14ac:dyDescent="0.3">
      <c r="A234" s="34"/>
      <c r="B234" s="30"/>
      <c r="C234" s="29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6.5" customHeight="1" x14ac:dyDescent="0.3">
      <c r="A235" s="34"/>
      <c r="B235" s="30"/>
      <c r="C235" s="29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6.5" customHeight="1" x14ac:dyDescent="0.3">
      <c r="A236" s="34"/>
      <c r="B236" s="30"/>
      <c r="C236" s="29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6.5" customHeight="1" x14ac:dyDescent="0.3">
      <c r="A237" s="34"/>
      <c r="B237" s="30"/>
      <c r="C237" s="29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6.5" customHeight="1" x14ac:dyDescent="0.3">
      <c r="A238" s="34"/>
      <c r="B238" s="30"/>
      <c r="C238" s="29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6.5" customHeight="1" x14ac:dyDescent="0.3">
      <c r="A239" s="34"/>
      <c r="B239" s="30"/>
      <c r="C239" s="29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6.5" customHeight="1" x14ac:dyDescent="0.3">
      <c r="A240" s="34"/>
      <c r="B240" s="30"/>
      <c r="C240" s="29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6.5" customHeight="1" x14ac:dyDescent="0.3">
      <c r="A241" s="34"/>
      <c r="B241" s="30"/>
      <c r="C241" s="29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6.5" customHeight="1" x14ac:dyDescent="0.3">
      <c r="A242" s="34"/>
      <c r="B242" s="30"/>
      <c r="C242" s="29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6.5" customHeight="1" x14ac:dyDescent="0.3">
      <c r="A243" s="34"/>
      <c r="B243" s="30"/>
      <c r="C243" s="29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6.5" customHeight="1" x14ac:dyDescent="0.3">
      <c r="A244" s="34"/>
      <c r="B244" s="30"/>
      <c r="C244" s="29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6.5" customHeight="1" x14ac:dyDescent="0.3">
      <c r="A245" s="34"/>
      <c r="B245" s="30"/>
      <c r="C245" s="29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6.5" customHeight="1" x14ac:dyDescent="0.3">
      <c r="A246" s="34"/>
      <c r="B246" s="30"/>
      <c r="C246" s="29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6.5" customHeight="1" x14ac:dyDescent="0.3">
      <c r="A247" s="34"/>
      <c r="B247" s="30"/>
      <c r="C247" s="29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6.5" customHeight="1" x14ac:dyDescent="0.3">
      <c r="A248" s="34"/>
      <c r="B248" s="30"/>
      <c r="C248" s="29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6.5" customHeight="1" x14ac:dyDescent="0.3">
      <c r="A249" s="34"/>
      <c r="B249" s="30"/>
      <c r="C249" s="29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6.5" customHeight="1" x14ac:dyDescent="0.3">
      <c r="A250" s="34"/>
      <c r="B250" s="30"/>
      <c r="C250" s="29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6.5" customHeight="1" x14ac:dyDescent="0.3">
      <c r="A251" s="34"/>
      <c r="B251" s="30"/>
      <c r="C251" s="29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6.5" customHeight="1" x14ac:dyDescent="0.3">
      <c r="A252" s="34"/>
      <c r="B252" s="30"/>
      <c r="C252" s="29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6.5" customHeight="1" x14ac:dyDescent="0.3">
      <c r="A253" s="34"/>
      <c r="B253" s="30"/>
      <c r="C253" s="29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6.5" customHeight="1" x14ac:dyDescent="0.3">
      <c r="A254" s="34"/>
      <c r="B254" s="30"/>
      <c r="C254" s="29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6.5" customHeight="1" x14ac:dyDescent="0.3">
      <c r="A255" s="34"/>
      <c r="B255" s="30"/>
      <c r="C255" s="29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6.5" customHeight="1" x14ac:dyDescent="0.3">
      <c r="A256" s="34"/>
      <c r="B256" s="30"/>
      <c r="C256" s="29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6.5" customHeight="1" x14ac:dyDescent="0.3">
      <c r="A257" s="34"/>
      <c r="B257" s="30"/>
      <c r="C257" s="29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6.5" customHeight="1" x14ac:dyDescent="0.3">
      <c r="A258" s="34"/>
      <c r="B258" s="30"/>
      <c r="C258" s="29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6.5" customHeight="1" x14ac:dyDescent="0.3">
      <c r="A259" s="34"/>
      <c r="B259" s="30"/>
      <c r="C259" s="29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6.5" customHeight="1" x14ac:dyDescent="0.3">
      <c r="A260" s="34"/>
      <c r="B260" s="30"/>
      <c r="C260" s="29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6.5" customHeight="1" x14ac:dyDescent="0.3">
      <c r="A261" s="34"/>
      <c r="B261" s="30"/>
      <c r="C261" s="29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6.5" customHeight="1" x14ac:dyDescent="0.3">
      <c r="A262" s="34"/>
      <c r="B262" s="30"/>
      <c r="C262" s="29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6.5" customHeight="1" x14ac:dyDescent="0.3">
      <c r="A263" s="34"/>
      <c r="B263" s="30"/>
      <c r="C263" s="29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6.5" customHeight="1" x14ac:dyDescent="0.3">
      <c r="A264" s="34"/>
      <c r="B264" s="30"/>
      <c r="C264" s="29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6.5" customHeight="1" x14ac:dyDescent="0.3">
      <c r="A265" s="34"/>
      <c r="B265" s="30"/>
      <c r="C265" s="29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6.5" customHeight="1" x14ac:dyDescent="0.3">
      <c r="A266" s="34"/>
      <c r="B266" s="30"/>
      <c r="C266" s="29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6.5" customHeight="1" x14ac:dyDescent="0.3">
      <c r="A267" s="34"/>
      <c r="B267" s="30"/>
      <c r="C267" s="29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6.5" customHeight="1" x14ac:dyDescent="0.3">
      <c r="A268" s="34"/>
      <c r="B268" s="30"/>
      <c r="C268" s="29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6.5" customHeight="1" x14ac:dyDescent="0.3">
      <c r="A269" s="34"/>
      <c r="B269" s="30"/>
      <c r="C269" s="29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6.5" customHeight="1" x14ac:dyDescent="0.3">
      <c r="A270" s="34"/>
      <c r="B270" s="30"/>
      <c r="C270" s="29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6.5" customHeight="1" x14ac:dyDescent="0.3">
      <c r="A271" s="34"/>
      <c r="B271" s="30"/>
      <c r="C271" s="29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6.5" customHeight="1" x14ac:dyDescent="0.3">
      <c r="A272" s="34"/>
      <c r="B272" s="30"/>
      <c r="C272" s="29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6.5" customHeight="1" x14ac:dyDescent="0.3">
      <c r="A273" s="34"/>
      <c r="B273" s="30"/>
      <c r="C273" s="29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6.5" customHeight="1" x14ac:dyDescent="0.3">
      <c r="A274" s="34"/>
      <c r="B274" s="30"/>
      <c r="C274" s="29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6.5" customHeight="1" x14ac:dyDescent="0.3">
      <c r="A275" s="34"/>
      <c r="B275" s="30"/>
      <c r="C275" s="29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6.5" customHeight="1" x14ac:dyDescent="0.3">
      <c r="A276" s="34"/>
      <c r="B276" s="30"/>
      <c r="C276" s="29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6.5" customHeight="1" x14ac:dyDescent="0.3">
      <c r="A277" s="34"/>
      <c r="B277" s="30"/>
      <c r="C277" s="29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6.5" customHeight="1" x14ac:dyDescent="0.3">
      <c r="A278" s="34"/>
      <c r="B278" s="30"/>
      <c r="C278" s="29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6.5" customHeight="1" x14ac:dyDescent="0.3">
      <c r="A279" s="34"/>
      <c r="B279" s="30"/>
      <c r="C279" s="29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6.5" customHeight="1" x14ac:dyDescent="0.3">
      <c r="A280" s="34"/>
      <c r="B280" s="30"/>
      <c r="C280" s="29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6.5" customHeight="1" x14ac:dyDescent="0.3">
      <c r="A281" s="34"/>
      <c r="B281" s="30"/>
      <c r="C281" s="29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6.5" customHeight="1" x14ac:dyDescent="0.3">
      <c r="A282" s="34"/>
      <c r="B282" s="30"/>
      <c r="C282" s="29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6.5" customHeight="1" x14ac:dyDescent="0.3">
      <c r="A283" s="34"/>
      <c r="B283" s="30"/>
      <c r="C283" s="29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6.5" customHeight="1" x14ac:dyDescent="0.3">
      <c r="A284" s="34"/>
      <c r="B284" s="30"/>
      <c r="C284" s="29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6.5" customHeight="1" x14ac:dyDescent="0.3">
      <c r="A285" s="34"/>
      <c r="B285" s="30"/>
      <c r="C285" s="29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6.5" customHeight="1" x14ac:dyDescent="0.3">
      <c r="A286" s="34"/>
      <c r="B286" s="30"/>
      <c r="C286" s="29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6.5" customHeight="1" x14ac:dyDescent="0.3">
      <c r="A287" s="34"/>
      <c r="B287" s="30"/>
      <c r="C287" s="29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6.5" customHeight="1" x14ac:dyDescent="0.3">
      <c r="A288" s="34"/>
      <c r="B288" s="30"/>
      <c r="C288" s="29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6.5" customHeight="1" x14ac:dyDescent="0.3">
      <c r="A289" s="34"/>
      <c r="B289" s="30"/>
      <c r="C289" s="29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6.5" customHeight="1" x14ac:dyDescent="0.3">
      <c r="A290" s="34"/>
      <c r="B290" s="30"/>
      <c r="C290" s="29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6.5" customHeight="1" x14ac:dyDescent="0.3">
      <c r="A291" s="34"/>
      <c r="B291" s="30"/>
      <c r="C291" s="29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6.5" customHeight="1" x14ac:dyDescent="0.3">
      <c r="A292" s="34"/>
      <c r="B292" s="30"/>
      <c r="C292" s="29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6.5" customHeight="1" x14ac:dyDescent="0.3">
      <c r="A293" s="34"/>
      <c r="B293" s="30"/>
      <c r="C293" s="29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6.5" customHeight="1" x14ac:dyDescent="0.3">
      <c r="A294" s="34"/>
      <c r="B294" s="30"/>
      <c r="C294" s="29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6.5" customHeight="1" x14ac:dyDescent="0.3">
      <c r="A295" s="34"/>
      <c r="B295" s="30"/>
      <c r="C295" s="29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6.5" customHeight="1" x14ac:dyDescent="0.3">
      <c r="A296" s="34"/>
      <c r="B296" s="30"/>
      <c r="C296" s="29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6.5" customHeight="1" x14ac:dyDescent="0.3">
      <c r="A297" s="34"/>
      <c r="B297" s="30"/>
      <c r="C297" s="29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6.5" customHeight="1" x14ac:dyDescent="0.3">
      <c r="A298" s="34"/>
      <c r="B298" s="30"/>
      <c r="C298" s="29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6.5" customHeight="1" x14ac:dyDescent="0.3">
      <c r="A299" s="34"/>
      <c r="B299" s="30"/>
      <c r="C299" s="29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6.5" customHeight="1" x14ac:dyDescent="0.3">
      <c r="A300" s="34"/>
      <c r="B300" s="30"/>
      <c r="C300" s="29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6.5" customHeight="1" x14ac:dyDescent="0.3">
      <c r="A301" s="34"/>
      <c r="B301" s="30"/>
      <c r="C301" s="29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6.5" customHeight="1" x14ac:dyDescent="0.3">
      <c r="A302" s="34"/>
      <c r="B302" s="30"/>
      <c r="C302" s="29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6.5" customHeight="1" x14ac:dyDescent="0.3">
      <c r="A303" s="34"/>
      <c r="B303" s="30"/>
      <c r="C303" s="29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6.5" customHeight="1" x14ac:dyDescent="0.3">
      <c r="A304" s="34"/>
      <c r="B304" s="30"/>
      <c r="C304" s="29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6.5" customHeight="1" x14ac:dyDescent="0.3">
      <c r="A305" s="34"/>
      <c r="B305" s="30"/>
      <c r="C305" s="29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6.5" customHeight="1" x14ac:dyDescent="0.3">
      <c r="A306" s="34"/>
      <c r="B306" s="30"/>
      <c r="C306" s="29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6.5" customHeight="1" x14ac:dyDescent="0.3">
      <c r="A307" s="34"/>
      <c r="B307" s="30"/>
      <c r="C307" s="29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6.5" customHeight="1" x14ac:dyDescent="0.3">
      <c r="A308" s="34"/>
      <c r="B308" s="30"/>
      <c r="C308" s="29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6.5" customHeight="1" x14ac:dyDescent="0.3">
      <c r="A309" s="34"/>
      <c r="B309" s="30"/>
      <c r="C309" s="29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6.5" customHeight="1" x14ac:dyDescent="0.3">
      <c r="A310" s="34"/>
      <c r="B310" s="30"/>
      <c r="C310" s="29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6.5" customHeight="1" x14ac:dyDescent="0.3">
      <c r="A311" s="34"/>
      <c r="B311" s="30"/>
      <c r="C311" s="29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6.5" customHeight="1" x14ac:dyDescent="0.3">
      <c r="A312" s="34"/>
      <c r="B312" s="30"/>
      <c r="C312" s="29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6.5" customHeight="1" x14ac:dyDescent="0.3">
      <c r="A313" s="34"/>
      <c r="B313" s="30"/>
      <c r="C313" s="29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6.5" customHeight="1" x14ac:dyDescent="0.3">
      <c r="A314" s="34"/>
      <c r="B314" s="30"/>
      <c r="C314" s="29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6.5" customHeight="1" x14ac:dyDescent="0.3">
      <c r="A315" s="34"/>
      <c r="B315" s="30"/>
      <c r="C315" s="29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6.5" customHeight="1" x14ac:dyDescent="0.3">
      <c r="A316" s="34"/>
      <c r="B316" s="30"/>
      <c r="C316" s="29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6.5" customHeight="1" x14ac:dyDescent="0.3">
      <c r="A317" s="34"/>
      <c r="B317" s="30"/>
      <c r="C317" s="29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6.5" customHeight="1" x14ac:dyDescent="0.3">
      <c r="A318" s="34"/>
      <c r="B318" s="30"/>
      <c r="C318" s="29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6.5" customHeight="1" x14ac:dyDescent="0.3">
      <c r="A319" s="34"/>
      <c r="B319" s="30"/>
      <c r="C319" s="29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6.5" customHeight="1" x14ac:dyDescent="0.3">
      <c r="A320" s="34"/>
      <c r="B320" s="30"/>
      <c r="C320" s="29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6.5" customHeight="1" x14ac:dyDescent="0.3">
      <c r="A321" s="34"/>
      <c r="B321" s="30"/>
      <c r="C321" s="29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6.5" customHeight="1" x14ac:dyDescent="0.3">
      <c r="A322" s="34"/>
      <c r="B322" s="30"/>
      <c r="C322" s="29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6.5" customHeight="1" x14ac:dyDescent="0.3">
      <c r="A323" s="34"/>
      <c r="B323" s="30"/>
      <c r="C323" s="29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6.5" customHeight="1" x14ac:dyDescent="0.3">
      <c r="A324" s="34"/>
      <c r="B324" s="30"/>
      <c r="C324" s="29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6.5" customHeight="1" x14ac:dyDescent="0.3">
      <c r="A325" s="34"/>
      <c r="B325" s="30"/>
      <c r="C325" s="29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6.5" customHeight="1" x14ac:dyDescent="0.3">
      <c r="A326" s="34"/>
      <c r="B326" s="30"/>
      <c r="C326" s="29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6.5" customHeight="1" x14ac:dyDescent="0.3">
      <c r="A327" s="34"/>
      <c r="B327" s="30"/>
      <c r="C327" s="29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6.5" customHeight="1" x14ac:dyDescent="0.3">
      <c r="A328" s="34"/>
      <c r="B328" s="30"/>
      <c r="C328" s="29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6.5" customHeight="1" x14ac:dyDescent="0.3">
      <c r="A329" s="34"/>
      <c r="B329" s="30"/>
      <c r="C329" s="29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6.5" customHeight="1" x14ac:dyDescent="0.3">
      <c r="A330" s="34"/>
      <c r="B330" s="30"/>
      <c r="C330" s="29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6.5" customHeight="1" x14ac:dyDescent="0.3">
      <c r="A331" s="34"/>
      <c r="B331" s="30"/>
      <c r="C331" s="29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6.5" customHeight="1" x14ac:dyDescent="0.3">
      <c r="A332" s="34"/>
      <c r="B332" s="30"/>
      <c r="C332" s="29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6.5" customHeight="1" x14ac:dyDescent="0.3">
      <c r="A333" s="34"/>
      <c r="B333" s="30"/>
      <c r="C333" s="29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6.5" customHeight="1" x14ac:dyDescent="0.3">
      <c r="A334" s="34"/>
      <c r="B334" s="30"/>
      <c r="C334" s="29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6.5" customHeight="1" x14ac:dyDescent="0.3">
      <c r="A335" s="34"/>
      <c r="B335" s="30"/>
      <c r="C335" s="29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6.5" customHeight="1" x14ac:dyDescent="0.3">
      <c r="A336" s="34"/>
      <c r="B336" s="30"/>
      <c r="C336" s="29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6.5" customHeight="1" x14ac:dyDescent="0.3">
      <c r="A337" s="34"/>
      <c r="B337" s="30"/>
      <c r="C337" s="29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6.5" customHeight="1" x14ac:dyDescent="0.3">
      <c r="A338" s="34"/>
      <c r="B338" s="30"/>
      <c r="C338" s="29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6.5" customHeight="1" x14ac:dyDescent="0.3">
      <c r="A339" s="34"/>
      <c r="B339" s="30"/>
      <c r="C339" s="29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6.5" customHeight="1" x14ac:dyDescent="0.3">
      <c r="A340" s="34"/>
      <c r="B340" s="30"/>
      <c r="C340" s="29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6.5" customHeight="1" x14ac:dyDescent="0.3">
      <c r="A341" s="34"/>
      <c r="B341" s="30"/>
      <c r="C341" s="29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6.5" customHeight="1" x14ac:dyDescent="0.3">
      <c r="A342" s="34"/>
      <c r="B342" s="30"/>
      <c r="C342" s="29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6.5" customHeight="1" x14ac:dyDescent="0.3">
      <c r="A343" s="34"/>
      <c r="B343" s="30"/>
      <c r="C343" s="29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6.5" customHeight="1" x14ac:dyDescent="0.3">
      <c r="A344" s="34"/>
      <c r="B344" s="30"/>
      <c r="C344" s="29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6.5" customHeight="1" x14ac:dyDescent="0.3">
      <c r="A345" s="34"/>
      <c r="B345" s="30"/>
      <c r="C345" s="29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6.5" customHeight="1" x14ac:dyDescent="0.3">
      <c r="A346" s="34"/>
      <c r="B346" s="30"/>
      <c r="C346" s="29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6.5" customHeight="1" x14ac:dyDescent="0.3">
      <c r="A347" s="34"/>
      <c r="B347" s="30"/>
      <c r="C347" s="29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6.5" customHeight="1" x14ac:dyDescent="0.3">
      <c r="A348" s="34"/>
      <c r="B348" s="30"/>
      <c r="C348" s="29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6.5" customHeight="1" x14ac:dyDescent="0.3">
      <c r="A349" s="34"/>
      <c r="B349" s="30"/>
      <c r="C349" s="29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6.5" customHeight="1" x14ac:dyDescent="0.3">
      <c r="A350" s="34"/>
      <c r="B350" s="30"/>
      <c r="C350" s="29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6.5" customHeight="1" x14ac:dyDescent="0.3">
      <c r="A351" s="34"/>
      <c r="B351" s="30"/>
      <c r="C351" s="29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6.5" customHeight="1" x14ac:dyDescent="0.3">
      <c r="A352" s="34"/>
      <c r="B352" s="30"/>
      <c r="C352" s="29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6.5" customHeight="1" x14ac:dyDescent="0.3">
      <c r="A353" s="34"/>
      <c r="B353" s="30"/>
      <c r="C353" s="29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6.5" customHeight="1" x14ac:dyDescent="0.3">
      <c r="A354" s="34"/>
      <c r="B354" s="30"/>
      <c r="C354" s="29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6.5" customHeight="1" x14ac:dyDescent="0.3">
      <c r="A355" s="34"/>
      <c r="B355" s="30"/>
      <c r="C355" s="29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6.5" customHeight="1" x14ac:dyDescent="0.3">
      <c r="A356" s="34"/>
      <c r="B356" s="30"/>
      <c r="C356" s="29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6.5" customHeight="1" x14ac:dyDescent="0.3">
      <c r="A357" s="34"/>
      <c r="B357" s="30"/>
      <c r="C357" s="29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6.5" customHeight="1" x14ac:dyDescent="0.3">
      <c r="A358" s="34"/>
      <c r="B358" s="30"/>
      <c r="C358" s="29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6.5" customHeight="1" x14ac:dyDescent="0.3">
      <c r="A359" s="34"/>
      <c r="B359" s="30"/>
      <c r="C359" s="29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6.5" customHeight="1" x14ac:dyDescent="0.3">
      <c r="A360" s="34"/>
      <c r="B360" s="30"/>
      <c r="C360" s="29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6.5" customHeight="1" x14ac:dyDescent="0.3">
      <c r="A361" s="34"/>
      <c r="B361" s="30"/>
      <c r="C361" s="29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6.5" customHeight="1" x14ac:dyDescent="0.3">
      <c r="A362" s="34"/>
      <c r="B362" s="30"/>
      <c r="C362" s="29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6.5" customHeight="1" x14ac:dyDescent="0.3">
      <c r="A363" s="34"/>
      <c r="B363" s="30"/>
      <c r="C363" s="29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6.5" customHeight="1" x14ac:dyDescent="0.3">
      <c r="A364" s="34"/>
      <c r="B364" s="30"/>
      <c r="C364" s="29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6.5" customHeight="1" x14ac:dyDescent="0.3">
      <c r="A365" s="34"/>
      <c r="B365" s="30"/>
      <c r="C365" s="29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6.5" customHeight="1" x14ac:dyDescent="0.3">
      <c r="A366" s="34"/>
      <c r="B366" s="30"/>
      <c r="C366" s="29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6.5" customHeight="1" x14ac:dyDescent="0.3">
      <c r="A367" s="34"/>
      <c r="B367" s="30"/>
      <c r="C367" s="29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6.5" customHeight="1" x14ac:dyDescent="0.3">
      <c r="A368" s="34"/>
      <c r="B368" s="30"/>
      <c r="C368" s="29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6.5" customHeight="1" x14ac:dyDescent="0.3">
      <c r="A369" s="34"/>
      <c r="B369" s="30"/>
      <c r="C369" s="29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6.5" customHeight="1" x14ac:dyDescent="0.3">
      <c r="A370" s="34"/>
      <c r="B370" s="30"/>
      <c r="C370" s="29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6.5" customHeight="1" x14ac:dyDescent="0.3">
      <c r="A371" s="34"/>
      <c r="B371" s="30"/>
      <c r="C371" s="29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6.5" customHeight="1" x14ac:dyDescent="0.3">
      <c r="A372" s="34"/>
      <c r="B372" s="30"/>
      <c r="C372" s="29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6.5" customHeight="1" x14ac:dyDescent="0.3">
      <c r="A373" s="34"/>
      <c r="B373" s="30"/>
      <c r="C373" s="29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6.5" customHeight="1" x14ac:dyDescent="0.3">
      <c r="A374" s="34"/>
      <c r="B374" s="30"/>
      <c r="C374" s="29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6.5" customHeight="1" x14ac:dyDescent="0.3">
      <c r="A375" s="34"/>
      <c r="B375" s="30"/>
      <c r="C375" s="29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6.5" customHeight="1" x14ac:dyDescent="0.3">
      <c r="A376" s="34"/>
      <c r="B376" s="30"/>
      <c r="C376" s="29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6.5" customHeight="1" x14ac:dyDescent="0.3">
      <c r="A377" s="34"/>
      <c r="B377" s="30"/>
      <c r="C377" s="29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6.5" customHeight="1" x14ac:dyDescent="0.3">
      <c r="A378" s="34"/>
      <c r="B378" s="30"/>
      <c r="C378" s="29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6.5" customHeight="1" x14ac:dyDescent="0.3">
      <c r="A379" s="34"/>
      <c r="B379" s="30"/>
      <c r="C379" s="29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6.5" customHeight="1" x14ac:dyDescent="0.3">
      <c r="A380" s="34"/>
      <c r="B380" s="30"/>
      <c r="C380" s="29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6.5" customHeight="1" x14ac:dyDescent="0.3">
      <c r="A381" s="34"/>
      <c r="B381" s="30"/>
      <c r="C381" s="29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6.5" customHeight="1" x14ac:dyDescent="0.3">
      <c r="A382" s="34"/>
      <c r="B382" s="30"/>
      <c r="C382" s="29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6.5" customHeight="1" x14ac:dyDescent="0.3">
      <c r="A383" s="34"/>
      <c r="B383" s="30"/>
      <c r="C383" s="29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6.5" customHeight="1" x14ac:dyDescent="0.3">
      <c r="A384" s="34"/>
      <c r="B384" s="30"/>
      <c r="C384" s="29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6.5" customHeight="1" x14ac:dyDescent="0.3">
      <c r="A385" s="34"/>
      <c r="B385" s="30"/>
      <c r="C385" s="29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6.5" customHeight="1" x14ac:dyDescent="0.3">
      <c r="A386" s="34"/>
      <c r="B386" s="30"/>
      <c r="C386" s="29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6.5" customHeight="1" x14ac:dyDescent="0.3">
      <c r="A387" s="34"/>
      <c r="B387" s="30"/>
      <c r="C387" s="29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6.5" customHeight="1" x14ac:dyDescent="0.3">
      <c r="A388" s="34"/>
      <c r="B388" s="30"/>
      <c r="C388" s="29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6.5" customHeight="1" x14ac:dyDescent="0.3">
      <c r="A389" s="34"/>
      <c r="B389" s="30"/>
      <c r="C389" s="29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6.5" customHeight="1" x14ac:dyDescent="0.3">
      <c r="A390" s="34"/>
      <c r="B390" s="30"/>
      <c r="C390" s="29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6.5" customHeight="1" x14ac:dyDescent="0.3">
      <c r="A391" s="34"/>
      <c r="B391" s="30"/>
      <c r="C391" s="29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6.5" customHeight="1" x14ac:dyDescent="0.3">
      <c r="A392" s="34"/>
      <c r="B392" s="30"/>
      <c r="C392" s="29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6.5" customHeight="1" x14ac:dyDescent="0.3">
      <c r="A393" s="34"/>
      <c r="B393" s="30"/>
      <c r="C393" s="29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6.5" customHeight="1" x14ac:dyDescent="0.3">
      <c r="A394" s="34"/>
      <c r="B394" s="30"/>
      <c r="C394" s="29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6.5" customHeight="1" x14ac:dyDescent="0.3">
      <c r="A395" s="34"/>
      <c r="B395" s="30"/>
      <c r="C395" s="29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6.5" customHeight="1" x14ac:dyDescent="0.3">
      <c r="A396" s="34"/>
      <c r="B396" s="30"/>
      <c r="C396" s="29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6.5" customHeight="1" x14ac:dyDescent="0.3">
      <c r="A397" s="34"/>
      <c r="B397" s="30"/>
      <c r="C397" s="29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6.5" customHeight="1" x14ac:dyDescent="0.3">
      <c r="A398" s="34"/>
      <c r="B398" s="30"/>
      <c r="C398" s="29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6.5" customHeight="1" x14ac:dyDescent="0.3">
      <c r="A399" s="34"/>
      <c r="B399" s="30"/>
      <c r="C399" s="29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6.5" customHeight="1" x14ac:dyDescent="0.3">
      <c r="A400" s="34"/>
      <c r="B400" s="30"/>
      <c r="C400" s="29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6.5" customHeight="1" x14ac:dyDescent="0.3">
      <c r="A401" s="34"/>
      <c r="B401" s="30"/>
      <c r="C401" s="29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6.5" customHeight="1" x14ac:dyDescent="0.3">
      <c r="A402" s="34"/>
      <c r="B402" s="30"/>
      <c r="C402" s="29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6.5" customHeight="1" x14ac:dyDescent="0.3">
      <c r="A403" s="34"/>
      <c r="B403" s="30"/>
      <c r="C403" s="29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6.5" customHeight="1" x14ac:dyDescent="0.3">
      <c r="A404" s="34"/>
      <c r="B404" s="30"/>
      <c r="C404" s="29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6.5" customHeight="1" x14ac:dyDescent="0.3">
      <c r="A405" s="34"/>
      <c r="B405" s="30"/>
      <c r="C405" s="29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6.5" customHeight="1" x14ac:dyDescent="0.3">
      <c r="A406" s="34"/>
      <c r="B406" s="30"/>
      <c r="C406" s="29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6.5" customHeight="1" x14ac:dyDescent="0.3">
      <c r="A407" s="34"/>
      <c r="B407" s="30"/>
      <c r="C407" s="29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6.5" customHeight="1" x14ac:dyDescent="0.3">
      <c r="A408" s="34"/>
      <c r="B408" s="30"/>
      <c r="C408" s="29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6.5" customHeight="1" x14ac:dyDescent="0.3">
      <c r="A409" s="34"/>
      <c r="B409" s="30"/>
      <c r="C409" s="29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6.5" customHeight="1" x14ac:dyDescent="0.3">
      <c r="A410" s="34"/>
      <c r="B410" s="30"/>
      <c r="C410" s="29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6.5" customHeight="1" x14ac:dyDescent="0.3">
      <c r="A411" s="34"/>
      <c r="B411" s="30"/>
      <c r="C411" s="29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6.5" customHeight="1" x14ac:dyDescent="0.3">
      <c r="A412" s="34"/>
      <c r="B412" s="30"/>
      <c r="C412" s="29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6.5" customHeight="1" x14ac:dyDescent="0.3">
      <c r="A413" s="34"/>
      <c r="B413" s="30"/>
      <c r="C413" s="29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6.5" customHeight="1" x14ac:dyDescent="0.3">
      <c r="A414" s="34"/>
      <c r="B414" s="30"/>
      <c r="C414" s="29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6.5" customHeight="1" x14ac:dyDescent="0.3">
      <c r="A415" s="34"/>
      <c r="B415" s="30"/>
      <c r="C415" s="29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6.5" customHeight="1" x14ac:dyDescent="0.3">
      <c r="A416" s="34"/>
      <c r="B416" s="30"/>
      <c r="C416" s="29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6.5" customHeight="1" x14ac:dyDescent="0.3">
      <c r="A417" s="34"/>
      <c r="B417" s="30"/>
      <c r="C417" s="29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6.5" customHeight="1" x14ac:dyDescent="0.3">
      <c r="A418" s="34"/>
      <c r="B418" s="30"/>
      <c r="C418" s="29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6.5" customHeight="1" x14ac:dyDescent="0.3">
      <c r="A419" s="34"/>
      <c r="B419" s="30"/>
      <c r="C419" s="29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6.5" customHeight="1" x14ac:dyDescent="0.3">
      <c r="A420" s="34"/>
      <c r="B420" s="30"/>
      <c r="C420" s="29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6.5" customHeight="1" x14ac:dyDescent="0.3">
      <c r="A421" s="34"/>
      <c r="B421" s="30"/>
      <c r="C421" s="29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6.5" customHeight="1" x14ac:dyDescent="0.3">
      <c r="A422" s="34"/>
      <c r="B422" s="30"/>
      <c r="C422" s="29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6.5" customHeight="1" x14ac:dyDescent="0.3">
      <c r="A423" s="34"/>
      <c r="B423" s="30"/>
      <c r="C423" s="29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6.5" customHeight="1" x14ac:dyDescent="0.3">
      <c r="A424" s="34"/>
      <c r="B424" s="30"/>
      <c r="C424" s="29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6.5" customHeight="1" x14ac:dyDescent="0.3">
      <c r="A425" s="34"/>
      <c r="B425" s="30"/>
      <c r="C425" s="29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6.5" customHeight="1" x14ac:dyDescent="0.3">
      <c r="A426" s="34"/>
      <c r="B426" s="30"/>
      <c r="C426" s="29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6.5" customHeight="1" x14ac:dyDescent="0.3">
      <c r="A427" s="34"/>
      <c r="B427" s="30"/>
      <c r="C427" s="29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6.5" customHeight="1" x14ac:dyDescent="0.3">
      <c r="A428" s="34"/>
      <c r="B428" s="30"/>
      <c r="C428" s="29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6.5" customHeight="1" x14ac:dyDescent="0.3">
      <c r="A429" s="34"/>
      <c r="B429" s="30"/>
      <c r="C429" s="29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6.5" customHeight="1" x14ac:dyDescent="0.3">
      <c r="A430" s="34"/>
      <c r="B430" s="30"/>
      <c r="C430" s="29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6.5" customHeight="1" x14ac:dyDescent="0.3">
      <c r="A431" s="34"/>
      <c r="B431" s="30"/>
      <c r="C431" s="29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6.5" customHeight="1" x14ac:dyDescent="0.3">
      <c r="A432" s="34"/>
      <c r="B432" s="30"/>
      <c r="C432" s="29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6.5" customHeight="1" x14ac:dyDescent="0.3">
      <c r="A433" s="34"/>
      <c r="B433" s="30"/>
      <c r="C433" s="29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6.5" customHeight="1" x14ac:dyDescent="0.3">
      <c r="A434" s="34"/>
      <c r="B434" s="30"/>
      <c r="C434" s="29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6.5" customHeight="1" x14ac:dyDescent="0.3">
      <c r="A435" s="34"/>
      <c r="B435" s="30"/>
      <c r="C435" s="29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6.5" customHeight="1" x14ac:dyDescent="0.3">
      <c r="A436" s="34"/>
      <c r="B436" s="30"/>
      <c r="C436" s="29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6.5" customHeight="1" x14ac:dyDescent="0.3">
      <c r="A437" s="34"/>
      <c r="B437" s="30"/>
      <c r="C437" s="29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6.5" customHeight="1" x14ac:dyDescent="0.3">
      <c r="A438" s="34"/>
      <c r="B438" s="30"/>
      <c r="C438" s="29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6.5" customHeight="1" x14ac:dyDescent="0.3">
      <c r="A439" s="34"/>
      <c r="B439" s="30"/>
      <c r="C439" s="29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6.5" customHeight="1" x14ac:dyDescent="0.3">
      <c r="A440" s="34"/>
      <c r="B440" s="30"/>
      <c r="C440" s="29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6.5" customHeight="1" x14ac:dyDescent="0.3">
      <c r="A441" s="34"/>
      <c r="B441" s="30"/>
      <c r="C441" s="29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6.5" customHeight="1" x14ac:dyDescent="0.3">
      <c r="A442" s="34"/>
      <c r="B442" s="30"/>
      <c r="C442" s="29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6.5" customHeight="1" x14ac:dyDescent="0.3">
      <c r="A443" s="34"/>
      <c r="B443" s="30"/>
      <c r="C443" s="29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6.5" customHeight="1" x14ac:dyDescent="0.3">
      <c r="A444" s="34"/>
      <c r="B444" s="30"/>
      <c r="C444" s="29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6.5" customHeight="1" x14ac:dyDescent="0.3">
      <c r="A445" s="34"/>
      <c r="B445" s="30"/>
      <c r="C445" s="29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6.5" customHeight="1" x14ac:dyDescent="0.3">
      <c r="A446" s="34"/>
      <c r="B446" s="30"/>
      <c r="C446" s="29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6.5" customHeight="1" x14ac:dyDescent="0.3">
      <c r="A447" s="34"/>
      <c r="B447" s="30"/>
      <c r="C447" s="29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6.5" customHeight="1" x14ac:dyDescent="0.3">
      <c r="A448" s="34"/>
      <c r="B448" s="30"/>
      <c r="C448" s="29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6.5" customHeight="1" x14ac:dyDescent="0.3">
      <c r="A449" s="34"/>
      <c r="B449" s="30"/>
      <c r="C449" s="29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6.5" customHeight="1" x14ac:dyDescent="0.3">
      <c r="A450" s="34"/>
      <c r="B450" s="30"/>
      <c r="C450" s="29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6.5" customHeight="1" x14ac:dyDescent="0.3">
      <c r="A451" s="34"/>
      <c r="B451" s="30"/>
      <c r="C451" s="29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6.5" customHeight="1" x14ac:dyDescent="0.3">
      <c r="A452" s="34"/>
      <c r="B452" s="30"/>
      <c r="C452" s="29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6.5" customHeight="1" x14ac:dyDescent="0.3">
      <c r="A453" s="34"/>
      <c r="B453" s="30"/>
      <c r="C453" s="29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6.5" customHeight="1" x14ac:dyDescent="0.3">
      <c r="A454" s="34"/>
      <c r="B454" s="30"/>
      <c r="C454" s="29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6.5" customHeight="1" x14ac:dyDescent="0.3">
      <c r="A455" s="34"/>
      <c r="B455" s="30"/>
      <c r="C455" s="29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6.5" customHeight="1" x14ac:dyDescent="0.3">
      <c r="A456" s="34"/>
      <c r="B456" s="30"/>
      <c r="C456" s="29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6.5" customHeight="1" x14ac:dyDescent="0.3">
      <c r="A457" s="34"/>
      <c r="B457" s="30"/>
      <c r="C457" s="29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6.5" customHeight="1" x14ac:dyDescent="0.3">
      <c r="A458" s="34"/>
      <c r="B458" s="30"/>
      <c r="C458" s="29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6.5" customHeight="1" x14ac:dyDescent="0.3">
      <c r="A459" s="34"/>
      <c r="B459" s="30"/>
      <c r="C459" s="29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6.5" customHeight="1" x14ac:dyDescent="0.3">
      <c r="A460" s="34"/>
      <c r="B460" s="30"/>
      <c r="C460" s="29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6.5" customHeight="1" x14ac:dyDescent="0.3">
      <c r="A461" s="34"/>
      <c r="B461" s="30"/>
      <c r="C461" s="29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6.5" customHeight="1" x14ac:dyDescent="0.3">
      <c r="A462" s="34"/>
      <c r="B462" s="30"/>
      <c r="C462" s="29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6.5" customHeight="1" x14ac:dyDescent="0.3">
      <c r="A463" s="34"/>
      <c r="B463" s="30"/>
      <c r="C463" s="29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6.5" customHeight="1" x14ac:dyDescent="0.3">
      <c r="A464" s="34"/>
      <c r="B464" s="30"/>
      <c r="C464" s="29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6.5" customHeight="1" x14ac:dyDescent="0.3">
      <c r="A465" s="34"/>
      <c r="B465" s="30"/>
      <c r="C465" s="29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6.5" customHeight="1" x14ac:dyDescent="0.3">
      <c r="A466" s="34"/>
      <c r="B466" s="30"/>
      <c r="C466" s="29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6.5" customHeight="1" x14ac:dyDescent="0.3">
      <c r="A467" s="34"/>
      <c r="B467" s="30"/>
      <c r="C467" s="29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6.5" customHeight="1" x14ac:dyDescent="0.3">
      <c r="A468" s="34"/>
      <c r="B468" s="30"/>
      <c r="C468" s="29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6.5" customHeight="1" x14ac:dyDescent="0.3">
      <c r="A469" s="34"/>
      <c r="B469" s="30"/>
      <c r="C469" s="29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6.5" customHeight="1" x14ac:dyDescent="0.3">
      <c r="A470" s="34"/>
      <c r="B470" s="30"/>
      <c r="C470" s="29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6.5" customHeight="1" x14ac:dyDescent="0.3">
      <c r="A471" s="34"/>
      <c r="B471" s="30"/>
      <c r="C471" s="29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6.5" customHeight="1" x14ac:dyDescent="0.3">
      <c r="A472" s="34"/>
      <c r="B472" s="30"/>
      <c r="C472" s="29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6.5" customHeight="1" x14ac:dyDescent="0.3">
      <c r="A473" s="34"/>
      <c r="B473" s="30"/>
      <c r="C473" s="29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6.5" customHeight="1" x14ac:dyDescent="0.3">
      <c r="A474" s="34"/>
      <c r="B474" s="30"/>
      <c r="C474" s="29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6.5" customHeight="1" x14ac:dyDescent="0.3">
      <c r="A475" s="34"/>
      <c r="B475" s="30"/>
      <c r="C475" s="29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6.5" customHeight="1" x14ac:dyDescent="0.3">
      <c r="A476" s="34"/>
      <c r="B476" s="30"/>
      <c r="C476" s="29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6.5" customHeight="1" x14ac:dyDescent="0.3">
      <c r="A477" s="34"/>
      <c r="B477" s="30"/>
      <c r="C477" s="29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6.5" customHeight="1" x14ac:dyDescent="0.3">
      <c r="A478" s="34"/>
      <c r="B478" s="30"/>
      <c r="C478" s="29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6.5" customHeight="1" x14ac:dyDescent="0.3">
      <c r="A479" s="34"/>
      <c r="B479" s="30"/>
      <c r="C479" s="29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6.5" customHeight="1" x14ac:dyDescent="0.3">
      <c r="A480" s="34"/>
      <c r="B480" s="30"/>
      <c r="C480" s="29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6.5" customHeight="1" x14ac:dyDescent="0.3">
      <c r="A481" s="34"/>
      <c r="B481" s="30"/>
      <c r="C481" s="29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6.5" customHeight="1" x14ac:dyDescent="0.3">
      <c r="A482" s="34"/>
      <c r="B482" s="30"/>
      <c r="C482" s="29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6.5" customHeight="1" x14ac:dyDescent="0.3">
      <c r="A483" s="34"/>
      <c r="B483" s="30"/>
      <c r="C483" s="29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6.5" customHeight="1" x14ac:dyDescent="0.3">
      <c r="A484" s="34"/>
      <c r="B484" s="30"/>
      <c r="C484" s="29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6.5" customHeight="1" x14ac:dyDescent="0.3">
      <c r="A485" s="34"/>
      <c r="B485" s="30"/>
      <c r="C485" s="29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6.5" customHeight="1" x14ac:dyDescent="0.3">
      <c r="A486" s="34"/>
      <c r="B486" s="30"/>
      <c r="C486" s="29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6.5" customHeight="1" x14ac:dyDescent="0.3">
      <c r="A487" s="34"/>
      <c r="B487" s="30"/>
      <c r="C487" s="29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6.5" customHeight="1" x14ac:dyDescent="0.3">
      <c r="A488" s="34"/>
      <c r="B488" s="30"/>
      <c r="C488" s="29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6.5" customHeight="1" x14ac:dyDescent="0.3">
      <c r="A489" s="34"/>
      <c r="B489" s="30"/>
      <c r="C489" s="29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6.5" customHeight="1" x14ac:dyDescent="0.3">
      <c r="A490" s="34"/>
      <c r="B490" s="30"/>
      <c r="C490" s="29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6.5" customHeight="1" x14ac:dyDescent="0.3">
      <c r="A491" s="34"/>
      <c r="B491" s="30"/>
      <c r="C491" s="29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6.5" customHeight="1" x14ac:dyDescent="0.3">
      <c r="A492" s="34"/>
      <c r="B492" s="30"/>
      <c r="C492" s="29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6.5" customHeight="1" x14ac:dyDescent="0.3">
      <c r="A493" s="34"/>
      <c r="B493" s="30"/>
      <c r="C493" s="29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6.5" customHeight="1" x14ac:dyDescent="0.3">
      <c r="A494" s="34"/>
      <c r="B494" s="30"/>
      <c r="C494" s="29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6.5" customHeight="1" x14ac:dyDescent="0.3">
      <c r="A495" s="34"/>
      <c r="B495" s="30"/>
      <c r="C495" s="29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6.5" customHeight="1" x14ac:dyDescent="0.3">
      <c r="A496" s="34"/>
      <c r="B496" s="30"/>
      <c r="C496" s="29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6.5" customHeight="1" x14ac:dyDescent="0.3">
      <c r="A497" s="34"/>
      <c r="B497" s="30"/>
      <c r="C497" s="29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6.5" customHeight="1" x14ac:dyDescent="0.3">
      <c r="A498" s="34"/>
      <c r="B498" s="30"/>
      <c r="C498" s="29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6.5" customHeight="1" x14ac:dyDescent="0.3">
      <c r="A499" s="34"/>
      <c r="B499" s="30"/>
      <c r="C499" s="29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6.5" customHeight="1" x14ac:dyDescent="0.3">
      <c r="A500" s="34"/>
      <c r="B500" s="30"/>
      <c r="C500" s="29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6.5" customHeight="1" x14ac:dyDescent="0.3">
      <c r="A501" s="34"/>
      <c r="B501" s="30"/>
      <c r="C501" s="29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6.5" customHeight="1" x14ac:dyDescent="0.3">
      <c r="A502" s="34"/>
      <c r="B502" s="30"/>
      <c r="C502" s="29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6.5" customHeight="1" x14ac:dyDescent="0.3">
      <c r="A503" s="34"/>
      <c r="B503" s="30"/>
      <c r="C503" s="29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6.5" customHeight="1" x14ac:dyDescent="0.3">
      <c r="A504" s="34"/>
      <c r="B504" s="30"/>
      <c r="C504" s="29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6.5" customHeight="1" x14ac:dyDescent="0.3">
      <c r="A505" s="34"/>
      <c r="B505" s="30"/>
      <c r="C505" s="29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6.5" customHeight="1" x14ac:dyDescent="0.3">
      <c r="A506" s="34"/>
      <c r="B506" s="30"/>
      <c r="C506" s="29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6.5" customHeight="1" x14ac:dyDescent="0.3">
      <c r="A507" s="34"/>
      <c r="B507" s="30"/>
      <c r="C507" s="29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6.5" customHeight="1" x14ac:dyDescent="0.3">
      <c r="A508" s="34"/>
      <c r="B508" s="30"/>
      <c r="C508" s="29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6.5" customHeight="1" x14ac:dyDescent="0.3">
      <c r="A509" s="34"/>
      <c r="B509" s="30"/>
      <c r="C509" s="29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6.5" customHeight="1" x14ac:dyDescent="0.3">
      <c r="A510" s="34"/>
      <c r="B510" s="30"/>
      <c r="C510" s="29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6.5" customHeight="1" x14ac:dyDescent="0.3">
      <c r="A511" s="34"/>
      <c r="B511" s="30"/>
      <c r="C511" s="29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6.5" customHeight="1" x14ac:dyDescent="0.3">
      <c r="A512" s="34"/>
      <c r="B512" s="30"/>
      <c r="C512" s="29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6.5" customHeight="1" x14ac:dyDescent="0.3">
      <c r="A513" s="34"/>
      <c r="B513" s="30"/>
      <c r="C513" s="29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6.5" customHeight="1" x14ac:dyDescent="0.3">
      <c r="A514" s="34"/>
      <c r="B514" s="30"/>
      <c r="C514" s="29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6.5" customHeight="1" x14ac:dyDescent="0.3">
      <c r="A515" s="34"/>
      <c r="B515" s="30"/>
      <c r="C515" s="29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6.5" customHeight="1" x14ac:dyDescent="0.3">
      <c r="A516" s="34"/>
      <c r="B516" s="30"/>
      <c r="C516" s="29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6.5" customHeight="1" x14ac:dyDescent="0.3">
      <c r="A517" s="34"/>
      <c r="B517" s="30"/>
      <c r="C517" s="29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6.5" customHeight="1" x14ac:dyDescent="0.3">
      <c r="A518" s="34"/>
      <c r="B518" s="30"/>
      <c r="C518" s="29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6.5" customHeight="1" x14ac:dyDescent="0.3">
      <c r="A519" s="34"/>
      <c r="B519" s="30"/>
      <c r="C519" s="29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6.5" customHeight="1" x14ac:dyDescent="0.3">
      <c r="A520" s="34"/>
      <c r="B520" s="30"/>
      <c r="C520" s="29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6.5" customHeight="1" x14ac:dyDescent="0.3">
      <c r="A521" s="34"/>
      <c r="B521" s="30"/>
      <c r="C521" s="29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6.5" customHeight="1" x14ac:dyDescent="0.3">
      <c r="A522" s="34"/>
      <c r="B522" s="30"/>
      <c r="C522" s="29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6.5" customHeight="1" x14ac:dyDescent="0.3">
      <c r="A523" s="34"/>
      <c r="B523" s="30"/>
      <c r="C523" s="29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6.5" customHeight="1" x14ac:dyDescent="0.3">
      <c r="A524" s="34"/>
      <c r="B524" s="30"/>
      <c r="C524" s="29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6.5" customHeight="1" x14ac:dyDescent="0.3">
      <c r="A525" s="34"/>
      <c r="B525" s="30"/>
      <c r="C525" s="29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6.5" customHeight="1" x14ac:dyDescent="0.3">
      <c r="A526" s="34"/>
      <c r="B526" s="30"/>
      <c r="C526" s="29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6.5" customHeight="1" x14ac:dyDescent="0.3">
      <c r="A527" s="34"/>
      <c r="B527" s="30"/>
      <c r="C527" s="29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6.5" customHeight="1" x14ac:dyDescent="0.3">
      <c r="A528" s="34"/>
      <c r="B528" s="30"/>
      <c r="C528" s="29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6.5" customHeight="1" x14ac:dyDescent="0.3">
      <c r="A529" s="34"/>
      <c r="B529" s="30"/>
      <c r="C529" s="29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6.5" customHeight="1" x14ac:dyDescent="0.3">
      <c r="A530" s="34"/>
      <c r="B530" s="30"/>
      <c r="C530" s="29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6.5" customHeight="1" x14ac:dyDescent="0.3">
      <c r="A531" s="34"/>
      <c r="B531" s="30"/>
      <c r="C531" s="29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6.5" customHeight="1" x14ac:dyDescent="0.3">
      <c r="A532" s="34"/>
      <c r="B532" s="30"/>
      <c r="C532" s="29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6.5" customHeight="1" x14ac:dyDescent="0.3">
      <c r="A533" s="34"/>
      <c r="B533" s="30"/>
      <c r="C533" s="29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6.5" customHeight="1" x14ac:dyDescent="0.3">
      <c r="A534" s="34"/>
      <c r="B534" s="30"/>
      <c r="C534" s="29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6.5" customHeight="1" x14ac:dyDescent="0.3">
      <c r="A535" s="34"/>
      <c r="B535" s="30"/>
      <c r="C535" s="29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6.5" customHeight="1" x14ac:dyDescent="0.3">
      <c r="A536" s="34"/>
      <c r="B536" s="30"/>
      <c r="C536" s="29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6.5" customHeight="1" x14ac:dyDescent="0.3">
      <c r="A537" s="34"/>
      <c r="B537" s="30"/>
      <c r="C537" s="29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6.5" customHeight="1" x14ac:dyDescent="0.3">
      <c r="A538" s="34"/>
      <c r="B538" s="30"/>
      <c r="C538" s="29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6.5" customHeight="1" x14ac:dyDescent="0.3">
      <c r="A539" s="34"/>
      <c r="B539" s="30"/>
      <c r="C539" s="29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6.5" customHeight="1" x14ac:dyDescent="0.3">
      <c r="A540" s="34"/>
      <c r="B540" s="30"/>
      <c r="C540" s="29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6.5" customHeight="1" x14ac:dyDescent="0.3">
      <c r="A541" s="34"/>
      <c r="B541" s="30"/>
      <c r="C541" s="29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6.5" customHeight="1" x14ac:dyDescent="0.3">
      <c r="A542" s="34"/>
      <c r="B542" s="30"/>
      <c r="C542" s="29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6.5" customHeight="1" x14ac:dyDescent="0.3">
      <c r="A543" s="34"/>
      <c r="B543" s="30"/>
      <c r="C543" s="29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6.5" customHeight="1" x14ac:dyDescent="0.3">
      <c r="A544" s="34"/>
      <c r="B544" s="30"/>
      <c r="C544" s="29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6.5" customHeight="1" x14ac:dyDescent="0.3">
      <c r="A545" s="34"/>
      <c r="B545" s="30"/>
      <c r="C545" s="29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6.5" customHeight="1" x14ac:dyDescent="0.3">
      <c r="A546" s="34"/>
      <c r="B546" s="30"/>
      <c r="C546" s="29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6.5" customHeight="1" x14ac:dyDescent="0.3">
      <c r="A547" s="34"/>
      <c r="B547" s="30"/>
      <c r="C547" s="29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6.5" customHeight="1" x14ac:dyDescent="0.3">
      <c r="A548" s="34"/>
      <c r="B548" s="30"/>
      <c r="C548" s="29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6.5" customHeight="1" x14ac:dyDescent="0.3">
      <c r="A549" s="34"/>
      <c r="B549" s="30"/>
      <c r="C549" s="29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6.5" customHeight="1" x14ac:dyDescent="0.3">
      <c r="A550" s="34"/>
      <c r="B550" s="30"/>
      <c r="C550" s="29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6.5" customHeight="1" x14ac:dyDescent="0.3">
      <c r="A551" s="34"/>
      <c r="B551" s="30"/>
      <c r="C551" s="29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6.5" customHeight="1" x14ac:dyDescent="0.3">
      <c r="A552" s="34"/>
      <c r="B552" s="30"/>
      <c r="C552" s="29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6.5" customHeight="1" x14ac:dyDescent="0.3">
      <c r="A553" s="34"/>
      <c r="B553" s="30"/>
      <c r="C553" s="29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6.5" customHeight="1" x14ac:dyDescent="0.3">
      <c r="A554" s="34"/>
      <c r="B554" s="30"/>
      <c r="C554" s="29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6.5" customHeight="1" x14ac:dyDescent="0.3">
      <c r="A555" s="34"/>
      <c r="B555" s="30"/>
      <c r="C555" s="29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6.5" customHeight="1" x14ac:dyDescent="0.3">
      <c r="A556" s="34"/>
      <c r="B556" s="30"/>
      <c r="C556" s="29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6.5" customHeight="1" x14ac:dyDescent="0.3">
      <c r="A557" s="34"/>
      <c r="B557" s="30"/>
      <c r="C557" s="29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6.5" customHeight="1" x14ac:dyDescent="0.3">
      <c r="A558" s="34"/>
      <c r="B558" s="30"/>
      <c r="C558" s="29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6.5" customHeight="1" x14ac:dyDescent="0.3">
      <c r="A559" s="34"/>
      <c r="B559" s="30"/>
      <c r="C559" s="29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6.5" customHeight="1" x14ac:dyDescent="0.3">
      <c r="A560" s="34"/>
      <c r="B560" s="30"/>
      <c r="C560" s="29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6.5" customHeight="1" x14ac:dyDescent="0.3">
      <c r="A561" s="34"/>
      <c r="B561" s="30"/>
      <c r="C561" s="29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6.5" customHeight="1" x14ac:dyDescent="0.3">
      <c r="A562" s="34"/>
      <c r="B562" s="30"/>
      <c r="C562" s="29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6.5" customHeight="1" x14ac:dyDescent="0.3">
      <c r="A563" s="34"/>
      <c r="B563" s="30"/>
      <c r="C563" s="29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6.5" customHeight="1" x14ac:dyDescent="0.3">
      <c r="A564" s="34"/>
      <c r="B564" s="30"/>
      <c r="C564" s="29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6.5" customHeight="1" x14ac:dyDescent="0.3">
      <c r="A565" s="34"/>
      <c r="B565" s="30"/>
      <c r="C565" s="29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6.5" customHeight="1" x14ac:dyDescent="0.3">
      <c r="A566" s="34"/>
      <c r="B566" s="30"/>
      <c r="C566" s="29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6.5" customHeight="1" x14ac:dyDescent="0.3">
      <c r="A567" s="34"/>
      <c r="B567" s="30"/>
      <c r="C567" s="29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6.5" customHeight="1" x14ac:dyDescent="0.3">
      <c r="A568" s="34"/>
      <c r="B568" s="30"/>
      <c r="C568" s="29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6.5" customHeight="1" x14ac:dyDescent="0.3">
      <c r="A569" s="34"/>
      <c r="B569" s="30"/>
      <c r="C569" s="29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6.5" customHeight="1" x14ac:dyDescent="0.3">
      <c r="A570" s="34"/>
      <c r="B570" s="30"/>
      <c r="C570" s="29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6.5" customHeight="1" x14ac:dyDescent="0.3">
      <c r="A571" s="34"/>
      <c r="B571" s="30"/>
      <c r="C571" s="29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6.5" customHeight="1" x14ac:dyDescent="0.3">
      <c r="A572" s="34"/>
      <c r="B572" s="30"/>
      <c r="C572" s="29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6.5" customHeight="1" x14ac:dyDescent="0.3">
      <c r="A573" s="34"/>
      <c r="B573" s="30"/>
      <c r="C573" s="29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6.5" customHeight="1" x14ac:dyDescent="0.3">
      <c r="A574" s="34"/>
      <c r="B574" s="30"/>
      <c r="C574" s="29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6.5" customHeight="1" x14ac:dyDescent="0.3">
      <c r="A575" s="34"/>
      <c r="B575" s="30"/>
      <c r="C575" s="29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6.5" customHeight="1" x14ac:dyDescent="0.3">
      <c r="A576" s="34"/>
      <c r="B576" s="30"/>
      <c r="C576" s="29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6.5" customHeight="1" x14ac:dyDescent="0.3">
      <c r="A577" s="34"/>
      <c r="B577" s="30"/>
      <c r="C577" s="29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6.5" customHeight="1" x14ac:dyDescent="0.3">
      <c r="A578" s="34"/>
      <c r="B578" s="30"/>
      <c r="C578" s="29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6.5" customHeight="1" x14ac:dyDescent="0.3">
      <c r="A579" s="34"/>
      <c r="B579" s="30"/>
      <c r="C579" s="29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6.5" customHeight="1" x14ac:dyDescent="0.3">
      <c r="A580" s="34"/>
      <c r="B580" s="30"/>
      <c r="C580" s="29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6.5" customHeight="1" x14ac:dyDescent="0.3">
      <c r="A581" s="34"/>
      <c r="B581" s="30"/>
      <c r="C581" s="29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6.5" customHeight="1" x14ac:dyDescent="0.3">
      <c r="A582" s="34"/>
      <c r="B582" s="30"/>
      <c r="C582" s="29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6.5" customHeight="1" x14ac:dyDescent="0.3">
      <c r="A583" s="34"/>
      <c r="B583" s="30"/>
      <c r="C583" s="29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6.5" customHeight="1" x14ac:dyDescent="0.3">
      <c r="A584" s="34"/>
      <c r="B584" s="30"/>
      <c r="C584" s="29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6.5" customHeight="1" x14ac:dyDescent="0.3">
      <c r="A585" s="34"/>
      <c r="B585" s="30"/>
      <c r="C585" s="29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6.5" customHeight="1" x14ac:dyDescent="0.3">
      <c r="A586" s="34"/>
      <c r="B586" s="30"/>
      <c r="C586" s="29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6.5" customHeight="1" x14ac:dyDescent="0.3">
      <c r="A587" s="34"/>
      <c r="B587" s="30"/>
      <c r="C587" s="29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6.5" customHeight="1" x14ac:dyDescent="0.3">
      <c r="A588" s="34"/>
      <c r="B588" s="30"/>
      <c r="C588" s="29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6.5" customHeight="1" x14ac:dyDescent="0.3">
      <c r="A589" s="34"/>
      <c r="B589" s="30"/>
      <c r="C589" s="29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6.5" customHeight="1" x14ac:dyDescent="0.3">
      <c r="A590" s="34"/>
      <c r="B590" s="30"/>
      <c r="C590" s="29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6.5" customHeight="1" x14ac:dyDescent="0.3">
      <c r="A591" s="34"/>
      <c r="B591" s="30"/>
      <c r="C591" s="29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6.5" customHeight="1" x14ac:dyDescent="0.3">
      <c r="A592" s="34"/>
      <c r="B592" s="30"/>
      <c r="C592" s="29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6.5" customHeight="1" x14ac:dyDescent="0.3">
      <c r="A593" s="34"/>
      <c r="B593" s="30"/>
      <c r="C593" s="29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6.5" customHeight="1" x14ac:dyDescent="0.3">
      <c r="A594" s="34"/>
      <c r="B594" s="30"/>
      <c r="C594" s="29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6.5" customHeight="1" x14ac:dyDescent="0.3">
      <c r="A595" s="34"/>
      <c r="B595" s="30"/>
      <c r="C595" s="29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6.5" customHeight="1" x14ac:dyDescent="0.3">
      <c r="A596" s="34"/>
      <c r="B596" s="30"/>
      <c r="C596" s="29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6.5" customHeight="1" x14ac:dyDescent="0.3">
      <c r="A597" s="34"/>
      <c r="B597" s="30"/>
      <c r="C597" s="29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6.5" customHeight="1" x14ac:dyDescent="0.3">
      <c r="A598" s="34"/>
      <c r="B598" s="30"/>
      <c r="C598" s="29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6.5" customHeight="1" x14ac:dyDescent="0.3">
      <c r="A599" s="34"/>
      <c r="B599" s="30"/>
      <c r="C599" s="29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6.5" customHeight="1" x14ac:dyDescent="0.3">
      <c r="A600" s="34"/>
      <c r="B600" s="30"/>
      <c r="C600" s="29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6.5" customHeight="1" x14ac:dyDescent="0.3">
      <c r="A601" s="34"/>
      <c r="B601" s="30"/>
      <c r="C601" s="29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6.5" customHeight="1" x14ac:dyDescent="0.3">
      <c r="A602" s="34"/>
      <c r="B602" s="30"/>
      <c r="C602" s="29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6.5" customHeight="1" x14ac:dyDescent="0.3">
      <c r="A603" s="34"/>
      <c r="B603" s="30"/>
      <c r="C603" s="29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6.5" customHeight="1" x14ac:dyDescent="0.3">
      <c r="A604" s="34"/>
      <c r="B604" s="30"/>
      <c r="C604" s="29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6.5" customHeight="1" x14ac:dyDescent="0.3">
      <c r="A605" s="34"/>
      <c r="B605" s="30"/>
      <c r="C605" s="29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6.5" customHeight="1" x14ac:dyDescent="0.3">
      <c r="A606" s="34"/>
      <c r="B606" s="30"/>
      <c r="C606" s="29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6.5" customHeight="1" x14ac:dyDescent="0.3">
      <c r="A607" s="34"/>
      <c r="B607" s="30"/>
      <c r="C607" s="29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6.5" customHeight="1" x14ac:dyDescent="0.3">
      <c r="A608" s="34"/>
      <c r="B608" s="30"/>
      <c r="C608" s="29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6.5" customHeight="1" x14ac:dyDescent="0.3">
      <c r="A609" s="34"/>
      <c r="B609" s="30"/>
      <c r="C609" s="29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6.5" customHeight="1" x14ac:dyDescent="0.3">
      <c r="A610" s="34"/>
      <c r="B610" s="30"/>
      <c r="C610" s="29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6.5" customHeight="1" x14ac:dyDescent="0.3">
      <c r="A611" s="34"/>
      <c r="B611" s="30"/>
      <c r="C611" s="29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6.5" customHeight="1" x14ac:dyDescent="0.3">
      <c r="A612" s="34"/>
      <c r="B612" s="30"/>
      <c r="C612" s="29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6.5" customHeight="1" x14ac:dyDescent="0.3">
      <c r="A613" s="34"/>
      <c r="B613" s="30"/>
      <c r="C613" s="29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6.5" customHeight="1" x14ac:dyDescent="0.3">
      <c r="A614" s="34"/>
      <c r="B614" s="30"/>
      <c r="C614" s="29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6.5" customHeight="1" x14ac:dyDescent="0.3">
      <c r="A615" s="34"/>
      <c r="B615" s="30"/>
      <c r="C615" s="29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6.5" customHeight="1" x14ac:dyDescent="0.3">
      <c r="A616" s="34"/>
      <c r="B616" s="30"/>
      <c r="C616" s="29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6.5" customHeight="1" x14ac:dyDescent="0.3">
      <c r="A617" s="34"/>
      <c r="B617" s="30"/>
      <c r="C617" s="29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6.5" customHeight="1" x14ac:dyDescent="0.3">
      <c r="A618" s="34"/>
      <c r="B618" s="30"/>
      <c r="C618" s="29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6.5" customHeight="1" x14ac:dyDescent="0.3">
      <c r="A619" s="34"/>
      <c r="B619" s="30"/>
      <c r="C619" s="29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6.5" customHeight="1" x14ac:dyDescent="0.3">
      <c r="A620" s="34"/>
      <c r="B620" s="30"/>
      <c r="C620" s="29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6.5" customHeight="1" x14ac:dyDescent="0.3">
      <c r="A621" s="34"/>
      <c r="B621" s="30"/>
      <c r="C621" s="29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6.5" customHeight="1" x14ac:dyDescent="0.3">
      <c r="A622" s="34"/>
      <c r="B622" s="30"/>
      <c r="C622" s="29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6.5" customHeight="1" x14ac:dyDescent="0.3">
      <c r="A623" s="34"/>
      <c r="B623" s="30"/>
      <c r="C623" s="29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6.5" customHeight="1" x14ac:dyDescent="0.3">
      <c r="A624" s="34"/>
      <c r="B624" s="30"/>
      <c r="C624" s="29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6.5" customHeight="1" x14ac:dyDescent="0.3">
      <c r="A625" s="34"/>
      <c r="B625" s="30"/>
      <c r="C625" s="29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6.5" customHeight="1" x14ac:dyDescent="0.3">
      <c r="A626" s="34"/>
      <c r="B626" s="30"/>
      <c r="C626" s="29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6.5" customHeight="1" x14ac:dyDescent="0.3">
      <c r="A627" s="34"/>
      <c r="B627" s="30"/>
      <c r="C627" s="29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6.5" customHeight="1" x14ac:dyDescent="0.3">
      <c r="A628" s="34"/>
      <c r="B628" s="30"/>
      <c r="C628" s="29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6.5" customHeight="1" x14ac:dyDescent="0.3">
      <c r="A629" s="34"/>
      <c r="B629" s="30"/>
      <c r="C629" s="29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6.5" customHeight="1" x14ac:dyDescent="0.3">
      <c r="A630" s="34"/>
      <c r="B630" s="30"/>
      <c r="C630" s="29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6.5" customHeight="1" x14ac:dyDescent="0.3">
      <c r="A631" s="34"/>
      <c r="B631" s="30"/>
      <c r="C631" s="29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6.5" customHeight="1" x14ac:dyDescent="0.3">
      <c r="A632" s="34"/>
      <c r="B632" s="30"/>
      <c r="C632" s="29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6.5" customHeight="1" x14ac:dyDescent="0.3">
      <c r="A633" s="34"/>
      <c r="B633" s="30"/>
      <c r="C633" s="29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6.5" customHeight="1" x14ac:dyDescent="0.3">
      <c r="A634" s="34"/>
      <c r="B634" s="30"/>
      <c r="C634" s="29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6.5" customHeight="1" x14ac:dyDescent="0.3">
      <c r="A635" s="34"/>
      <c r="B635" s="30"/>
      <c r="C635" s="29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6.5" customHeight="1" x14ac:dyDescent="0.3">
      <c r="A636" s="34"/>
      <c r="B636" s="30"/>
      <c r="C636" s="29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6.5" customHeight="1" x14ac:dyDescent="0.3">
      <c r="A637" s="34"/>
      <c r="B637" s="30"/>
      <c r="C637" s="29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6.5" customHeight="1" x14ac:dyDescent="0.3">
      <c r="A638" s="34"/>
      <c r="B638" s="30"/>
      <c r="C638" s="29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6.5" customHeight="1" x14ac:dyDescent="0.3">
      <c r="A639" s="34"/>
      <c r="B639" s="30"/>
      <c r="C639" s="29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6.5" customHeight="1" x14ac:dyDescent="0.3">
      <c r="A640" s="34"/>
      <c r="B640" s="30"/>
      <c r="C640" s="29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6.5" customHeight="1" x14ac:dyDescent="0.3">
      <c r="A641" s="34"/>
      <c r="B641" s="30"/>
      <c r="C641" s="29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6.5" customHeight="1" x14ac:dyDescent="0.3">
      <c r="A642" s="34"/>
      <c r="B642" s="30"/>
      <c r="C642" s="29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6.5" customHeight="1" x14ac:dyDescent="0.3">
      <c r="A643" s="34"/>
      <c r="B643" s="30"/>
      <c r="C643" s="29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6.5" customHeight="1" x14ac:dyDescent="0.3">
      <c r="A644" s="34"/>
      <c r="B644" s="30"/>
      <c r="C644" s="29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6.5" customHeight="1" x14ac:dyDescent="0.3">
      <c r="A645" s="34"/>
      <c r="B645" s="30"/>
      <c r="C645" s="29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6.5" customHeight="1" x14ac:dyDescent="0.3">
      <c r="A646" s="34"/>
      <c r="B646" s="30"/>
      <c r="C646" s="29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6.5" customHeight="1" x14ac:dyDescent="0.3">
      <c r="A647" s="34"/>
      <c r="B647" s="30"/>
      <c r="C647" s="29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6.5" customHeight="1" x14ac:dyDescent="0.3">
      <c r="A648" s="34"/>
      <c r="B648" s="30"/>
      <c r="C648" s="29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6.5" customHeight="1" x14ac:dyDescent="0.3">
      <c r="A649" s="34"/>
      <c r="B649" s="30"/>
      <c r="C649" s="29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6.5" customHeight="1" x14ac:dyDescent="0.3">
      <c r="A650" s="34"/>
      <c r="B650" s="30"/>
      <c r="C650" s="29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6.5" customHeight="1" x14ac:dyDescent="0.3">
      <c r="A651" s="34"/>
      <c r="B651" s="30"/>
      <c r="C651" s="29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6.5" customHeight="1" x14ac:dyDescent="0.3">
      <c r="A652" s="34"/>
      <c r="B652" s="30"/>
      <c r="C652" s="29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6.5" customHeight="1" x14ac:dyDescent="0.3">
      <c r="A653" s="34"/>
      <c r="B653" s="30"/>
      <c r="C653" s="29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6.5" customHeight="1" x14ac:dyDescent="0.3">
      <c r="A654" s="34"/>
      <c r="B654" s="30"/>
      <c r="C654" s="29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6.5" customHeight="1" x14ac:dyDescent="0.3">
      <c r="A655" s="34"/>
      <c r="B655" s="30"/>
      <c r="C655" s="29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6.5" customHeight="1" x14ac:dyDescent="0.3">
      <c r="A656" s="34"/>
      <c r="B656" s="30"/>
      <c r="C656" s="29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6.5" customHeight="1" x14ac:dyDescent="0.3">
      <c r="A657" s="34"/>
      <c r="B657" s="30"/>
      <c r="C657" s="29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6.5" customHeight="1" x14ac:dyDescent="0.3">
      <c r="A658" s="34"/>
      <c r="B658" s="30"/>
      <c r="C658" s="29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6.5" customHeight="1" x14ac:dyDescent="0.3">
      <c r="A659" s="34"/>
      <c r="B659" s="30"/>
      <c r="C659" s="29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6.5" customHeight="1" x14ac:dyDescent="0.3">
      <c r="A660" s="34"/>
      <c r="B660" s="30"/>
      <c r="C660" s="29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6.5" customHeight="1" x14ac:dyDescent="0.3">
      <c r="A661" s="34"/>
      <c r="B661" s="30"/>
      <c r="C661" s="29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6.5" customHeight="1" x14ac:dyDescent="0.3">
      <c r="A662" s="34"/>
      <c r="B662" s="30"/>
      <c r="C662" s="29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6.5" customHeight="1" x14ac:dyDescent="0.3">
      <c r="A663" s="34"/>
      <c r="B663" s="30"/>
      <c r="C663" s="29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6.5" customHeight="1" x14ac:dyDescent="0.3">
      <c r="A664" s="34"/>
      <c r="B664" s="30"/>
      <c r="C664" s="29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6.5" customHeight="1" x14ac:dyDescent="0.3">
      <c r="A665" s="34"/>
      <c r="B665" s="30"/>
      <c r="C665" s="29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6.5" customHeight="1" x14ac:dyDescent="0.3">
      <c r="A666" s="34"/>
      <c r="B666" s="30"/>
      <c r="C666" s="29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6.5" customHeight="1" x14ac:dyDescent="0.3">
      <c r="A667" s="34"/>
      <c r="B667" s="30"/>
      <c r="C667" s="29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6.5" customHeight="1" x14ac:dyDescent="0.3">
      <c r="A668" s="34"/>
      <c r="B668" s="30"/>
      <c r="C668" s="29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6.5" customHeight="1" x14ac:dyDescent="0.3">
      <c r="A669" s="34"/>
      <c r="B669" s="30"/>
      <c r="C669" s="29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6.5" customHeight="1" x14ac:dyDescent="0.3">
      <c r="A670" s="34"/>
      <c r="B670" s="30"/>
      <c r="C670" s="29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6.5" customHeight="1" x14ac:dyDescent="0.3">
      <c r="A671" s="34"/>
      <c r="B671" s="30"/>
      <c r="C671" s="29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6.5" customHeight="1" x14ac:dyDescent="0.3">
      <c r="A672" s="34"/>
      <c r="B672" s="30"/>
      <c r="C672" s="29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6.5" customHeight="1" x14ac:dyDescent="0.3">
      <c r="A673" s="34"/>
      <c r="B673" s="30"/>
      <c r="C673" s="29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6.5" customHeight="1" x14ac:dyDescent="0.3">
      <c r="A674" s="34"/>
      <c r="B674" s="30"/>
      <c r="C674" s="29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6.5" customHeight="1" x14ac:dyDescent="0.3">
      <c r="A675" s="34"/>
      <c r="B675" s="30"/>
      <c r="C675" s="29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6.5" customHeight="1" x14ac:dyDescent="0.3">
      <c r="A676" s="34"/>
      <c r="B676" s="30"/>
      <c r="C676" s="29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6.5" customHeight="1" x14ac:dyDescent="0.3">
      <c r="A677" s="34"/>
      <c r="B677" s="30"/>
      <c r="C677" s="29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6.5" customHeight="1" x14ac:dyDescent="0.3">
      <c r="A678" s="34"/>
      <c r="B678" s="30"/>
      <c r="C678" s="29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6.5" customHeight="1" x14ac:dyDescent="0.3">
      <c r="A679" s="34"/>
      <c r="B679" s="30"/>
      <c r="C679" s="29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6.5" customHeight="1" x14ac:dyDescent="0.3">
      <c r="A680" s="34"/>
      <c r="B680" s="30"/>
      <c r="C680" s="29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6.5" customHeight="1" x14ac:dyDescent="0.3">
      <c r="A681" s="34"/>
      <c r="B681" s="30"/>
      <c r="C681" s="29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6.5" customHeight="1" x14ac:dyDescent="0.3">
      <c r="A682" s="34"/>
      <c r="B682" s="30"/>
      <c r="C682" s="29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6.5" customHeight="1" x14ac:dyDescent="0.3">
      <c r="A683" s="34"/>
      <c r="B683" s="30"/>
      <c r="C683" s="29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6.5" customHeight="1" x14ac:dyDescent="0.3">
      <c r="A684" s="34"/>
      <c r="B684" s="30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6.5" customHeight="1" x14ac:dyDescent="0.3">
      <c r="A685" s="34"/>
      <c r="B685" s="30"/>
      <c r="C685" s="29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6.5" customHeight="1" x14ac:dyDescent="0.3">
      <c r="A686" s="34"/>
      <c r="B686" s="30"/>
      <c r="C686" s="29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6.5" customHeight="1" x14ac:dyDescent="0.3">
      <c r="A687" s="34"/>
      <c r="B687" s="30"/>
      <c r="C687" s="29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6.5" customHeight="1" x14ac:dyDescent="0.3">
      <c r="A688" s="34"/>
      <c r="B688" s="30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6.5" customHeight="1" x14ac:dyDescent="0.3">
      <c r="A689" s="34"/>
      <c r="B689" s="30"/>
      <c r="C689" s="29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6.5" customHeight="1" x14ac:dyDescent="0.3">
      <c r="A690" s="34"/>
      <c r="B690" s="30"/>
      <c r="C690" s="29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6.5" customHeight="1" x14ac:dyDescent="0.3">
      <c r="A691" s="34"/>
      <c r="B691" s="30"/>
      <c r="C691" s="29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6.5" customHeight="1" x14ac:dyDescent="0.3">
      <c r="A692" s="34"/>
      <c r="B692" s="30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6.5" customHeight="1" x14ac:dyDescent="0.3">
      <c r="A693" s="34"/>
      <c r="B693" s="30"/>
      <c r="C693" s="29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6.5" customHeight="1" x14ac:dyDescent="0.3">
      <c r="A694" s="34"/>
      <c r="B694" s="30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6.5" customHeight="1" x14ac:dyDescent="0.3">
      <c r="A695" s="34"/>
      <c r="B695" s="30"/>
      <c r="C695" s="29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6.5" customHeight="1" x14ac:dyDescent="0.3">
      <c r="A696" s="34"/>
      <c r="B696" s="30"/>
      <c r="C696" s="29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6.5" customHeight="1" x14ac:dyDescent="0.3">
      <c r="A697" s="34"/>
      <c r="B697" s="30"/>
      <c r="C697" s="29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6.5" customHeight="1" x14ac:dyDescent="0.3">
      <c r="A698" s="34"/>
      <c r="B698" s="30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6.5" customHeight="1" x14ac:dyDescent="0.3">
      <c r="A699" s="34"/>
      <c r="B699" s="30"/>
      <c r="C699" s="29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6.5" customHeight="1" x14ac:dyDescent="0.3">
      <c r="A700" s="34"/>
      <c r="B700" s="30"/>
      <c r="C700" s="29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6.5" customHeight="1" x14ac:dyDescent="0.3">
      <c r="A701" s="34"/>
      <c r="B701" s="30"/>
      <c r="C701" s="29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6.5" customHeight="1" x14ac:dyDescent="0.3">
      <c r="A702" s="34"/>
      <c r="B702" s="30"/>
      <c r="C702" s="29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6.5" customHeight="1" x14ac:dyDescent="0.3">
      <c r="A703" s="34"/>
      <c r="B703" s="30"/>
      <c r="C703" s="29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6.5" customHeight="1" x14ac:dyDescent="0.3">
      <c r="A704" s="34"/>
      <c r="B704" s="30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6.5" customHeight="1" x14ac:dyDescent="0.3">
      <c r="A705" s="34"/>
      <c r="B705" s="30"/>
      <c r="C705" s="29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6.5" customHeight="1" x14ac:dyDescent="0.3">
      <c r="A706" s="34"/>
      <c r="B706" s="30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6.5" customHeight="1" x14ac:dyDescent="0.3">
      <c r="A707" s="34"/>
      <c r="B707" s="30"/>
      <c r="C707" s="29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6.5" customHeight="1" x14ac:dyDescent="0.3">
      <c r="A708" s="34"/>
      <c r="B708" s="30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6.5" customHeight="1" x14ac:dyDescent="0.3">
      <c r="A709" s="34"/>
      <c r="B709" s="30"/>
      <c r="C709" s="29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6.5" customHeight="1" x14ac:dyDescent="0.3">
      <c r="A710" s="34"/>
      <c r="B710" s="30"/>
      <c r="C710" s="29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6.5" customHeight="1" x14ac:dyDescent="0.3">
      <c r="A711" s="34"/>
      <c r="B711" s="30"/>
      <c r="C711" s="29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6.5" customHeight="1" x14ac:dyDescent="0.3">
      <c r="A712" s="34"/>
      <c r="B712" s="30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6.5" customHeight="1" x14ac:dyDescent="0.3">
      <c r="A713" s="34"/>
      <c r="B713" s="30"/>
      <c r="C713" s="29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6.5" customHeight="1" x14ac:dyDescent="0.3">
      <c r="A714" s="34"/>
      <c r="B714" s="30"/>
      <c r="C714" s="29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6.5" customHeight="1" x14ac:dyDescent="0.3">
      <c r="A715" s="34"/>
      <c r="B715" s="30"/>
      <c r="C715" s="29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6.5" customHeight="1" x14ac:dyDescent="0.3">
      <c r="A716" s="34"/>
      <c r="B716" s="30"/>
      <c r="C716" s="29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6.5" customHeight="1" x14ac:dyDescent="0.3">
      <c r="A717" s="34"/>
      <c r="B717" s="30"/>
      <c r="C717" s="29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6.5" customHeight="1" x14ac:dyDescent="0.3">
      <c r="A718" s="34"/>
      <c r="B718" s="30"/>
      <c r="C718" s="29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6.5" customHeight="1" x14ac:dyDescent="0.3">
      <c r="A719" s="34"/>
      <c r="B719" s="30"/>
      <c r="C719" s="29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6.5" customHeight="1" x14ac:dyDescent="0.3">
      <c r="A720" s="34"/>
      <c r="B720" s="30"/>
      <c r="C720" s="29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6.5" customHeight="1" x14ac:dyDescent="0.3">
      <c r="A721" s="34"/>
      <c r="B721" s="30"/>
      <c r="C721" s="29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6.5" customHeight="1" x14ac:dyDescent="0.3">
      <c r="A722" s="34"/>
      <c r="B722" s="30"/>
      <c r="C722" s="29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6.5" customHeight="1" x14ac:dyDescent="0.3">
      <c r="A723" s="34"/>
      <c r="B723" s="30"/>
      <c r="C723" s="29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6.5" customHeight="1" x14ac:dyDescent="0.3">
      <c r="A724" s="34"/>
      <c r="B724" s="30"/>
      <c r="C724" s="29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6.5" customHeight="1" x14ac:dyDescent="0.3">
      <c r="A725" s="34"/>
      <c r="B725" s="30"/>
      <c r="C725" s="29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6.5" customHeight="1" x14ac:dyDescent="0.3">
      <c r="A726" s="34"/>
      <c r="B726" s="30"/>
      <c r="C726" s="29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6.5" customHeight="1" x14ac:dyDescent="0.3">
      <c r="A727" s="34"/>
      <c r="B727" s="30"/>
      <c r="C727" s="29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6.5" customHeight="1" x14ac:dyDescent="0.3">
      <c r="A728" s="34"/>
      <c r="B728" s="30"/>
      <c r="C728" s="29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6.5" customHeight="1" x14ac:dyDescent="0.3">
      <c r="A729" s="34"/>
      <c r="B729" s="30"/>
      <c r="C729" s="29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6.5" customHeight="1" x14ac:dyDescent="0.3">
      <c r="A730" s="34"/>
      <c r="B730" s="30"/>
      <c r="C730" s="29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6.5" customHeight="1" x14ac:dyDescent="0.3">
      <c r="A731" s="34"/>
      <c r="B731" s="30"/>
      <c r="C731" s="29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6.5" customHeight="1" x14ac:dyDescent="0.3">
      <c r="A732" s="34"/>
      <c r="B732" s="30"/>
      <c r="C732" s="29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6.5" customHeight="1" x14ac:dyDescent="0.3">
      <c r="A733" s="34"/>
      <c r="B733" s="30"/>
      <c r="C733" s="29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6.5" customHeight="1" x14ac:dyDescent="0.3">
      <c r="A734" s="34"/>
      <c r="B734" s="30"/>
      <c r="C734" s="29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6.5" customHeight="1" x14ac:dyDescent="0.3">
      <c r="A735" s="34"/>
      <c r="B735" s="30"/>
      <c r="C735" s="29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6.5" customHeight="1" x14ac:dyDescent="0.3">
      <c r="A736" s="34"/>
      <c r="B736" s="30"/>
      <c r="C736" s="29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6.5" customHeight="1" x14ac:dyDescent="0.3">
      <c r="A737" s="34"/>
      <c r="B737" s="30"/>
      <c r="C737" s="29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6.5" customHeight="1" x14ac:dyDescent="0.3">
      <c r="A738" s="34"/>
      <c r="B738" s="30"/>
      <c r="C738" s="29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6.5" customHeight="1" x14ac:dyDescent="0.3">
      <c r="A739" s="34"/>
      <c r="B739" s="30"/>
      <c r="C739" s="29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6.5" customHeight="1" x14ac:dyDescent="0.3">
      <c r="A740" s="34"/>
      <c r="B740" s="30"/>
      <c r="C740" s="29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6.5" customHeight="1" x14ac:dyDescent="0.3">
      <c r="A741" s="34"/>
      <c r="B741" s="30"/>
      <c r="C741" s="29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6.5" customHeight="1" x14ac:dyDescent="0.3">
      <c r="A742" s="34"/>
      <c r="B742" s="30"/>
      <c r="C742" s="29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6.5" customHeight="1" x14ac:dyDescent="0.3">
      <c r="A743" s="34"/>
      <c r="B743" s="30"/>
      <c r="C743" s="29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6.5" customHeight="1" x14ac:dyDescent="0.3">
      <c r="A744" s="34"/>
      <c r="B744" s="30"/>
      <c r="C744" s="29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6.5" customHeight="1" x14ac:dyDescent="0.3">
      <c r="A745" s="34"/>
      <c r="B745" s="30"/>
      <c r="C745" s="29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6.5" customHeight="1" x14ac:dyDescent="0.3">
      <c r="A746" s="34"/>
      <c r="B746" s="30"/>
      <c r="C746" s="29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6.5" customHeight="1" x14ac:dyDescent="0.3">
      <c r="A747" s="34"/>
      <c r="B747" s="30"/>
      <c r="C747" s="29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6.5" customHeight="1" x14ac:dyDescent="0.3">
      <c r="A748" s="34"/>
      <c r="B748" s="30"/>
      <c r="C748" s="29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6.5" customHeight="1" x14ac:dyDescent="0.3">
      <c r="A749" s="34"/>
      <c r="B749" s="30"/>
      <c r="C749" s="29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6.5" customHeight="1" x14ac:dyDescent="0.3">
      <c r="A750" s="34"/>
      <c r="B750" s="30"/>
      <c r="C750" s="29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6.5" customHeight="1" x14ac:dyDescent="0.3">
      <c r="A751" s="34"/>
      <c r="B751" s="30"/>
      <c r="C751" s="29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6.5" customHeight="1" x14ac:dyDescent="0.3">
      <c r="A752" s="34"/>
      <c r="B752" s="30"/>
      <c r="C752" s="29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6.5" customHeight="1" x14ac:dyDescent="0.3">
      <c r="A753" s="34"/>
      <c r="B753" s="30"/>
      <c r="C753" s="29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6.5" customHeight="1" x14ac:dyDescent="0.3">
      <c r="A754" s="34"/>
      <c r="B754" s="30"/>
      <c r="C754" s="29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6.5" customHeight="1" x14ac:dyDescent="0.3">
      <c r="A755" s="34"/>
      <c r="B755" s="30"/>
      <c r="C755" s="29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6.5" customHeight="1" x14ac:dyDescent="0.3">
      <c r="A756" s="34"/>
      <c r="B756" s="30"/>
      <c r="C756" s="29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6.5" customHeight="1" x14ac:dyDescent="0.3">
      <c r="A757" s="34"/>
      <c r="B757" s="30"/>
      <c r="C757" s="29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6.5" customHeight="1" x14ac:dyDescent="0.3">
      <c r="A758" s="34"/>
      <c r="B758" s="30"/>
      <c r="C758" s="29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6.5" customHeight="1" x14ac:dyDescent="0.3">
      <c r="A759" s="34"/>
      <c r="B759" s="30"/>
      <c r="C759" s="29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6.5" customHeight="1" x14ac:dyDescent="0.3">
      <c r="A760" s="34"/>
      <c r="B760" s="30"/>
      <c r="C760" s="29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6.5" customHeight="1" x14ac:dyDescent="0.3">
      <c r="A761" s="34"/>
      <c r="B761" s="30"/>
      <c r="C761" s="29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6.5" customHeight="1" x14ac:dyDescent="0.3">
      <c r="A762" s="34"/>
      <c r="B762" s="30"/>
      <c r="C762" s="29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6.5" customHeight="1" x14ac:dyDescent="0.3">
      <c r="A763" s="34"/>
      <c r="B763" s="30"/>
      <c r="C763" s="29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6.5" customHeight="1" x14ac:dyDescent="0.3">
      <c r="A764" s="34"/>
      <c r="B764" s="30"/>
      <c r="C764" s="29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6.5" customHeight="1" x14ac:dyDescent="0.3">
      <c r="A765" s="34"/>
      <c r="B765" s="30"/>
      <c r="C765" s="29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6.5" customHeight="1" x14ac:dyDescent="0.3">
      <c r="A766" s="34"/>
      <c r="B766" s="30"/>
      <c r="C766" s="29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6.5" customHeight="1" x14ac:dyDescent="0.3">
      <c r="A767" s="34"/>
      <c r="B767" s="30"/>
      <c r="C767" s="29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6.5" customHeight="1" x14ac:dyDescent="0.3">
      <c r="A768" s="34"/>
      <c r="B768" s="30"/>
      <c r="C768" s="29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6.5" customHeight="1" x14ac:dyDescent="0.3">
      <c r="A769" s="34"/>
      <c r="B769" s="30"/>
      <c r="C769" s="29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6.5" customHeight="1" x14ac:dyDescent="0.3">
      <c r="A770" s="34"/>
      <c r="B770" s="30"/>
      <c r="C770" s="29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6.5" customHeight="1" x14ac:dyDescent="0.3">
      <c r="A771" s="34"/>
      <c r="B771" s="30"/>
      <c r="C771" s="29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6.5" customHeight="1" x14ac:dyDescent="0.3">
      <c r="A772" s="34"/>
      <c r="B772" s="30"/>
      <c r="C772" s="29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6.5" customHeight="1" x14ac:dyDescent="0.3">
      <c r="A773" s="34"/>
      <c r="B773" s="30"/>
      <c r="C773" s="29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6.5" customHeight="1" x14ac:dyDescent="0.3">
      <c r="A774" s="34"/>
      <c r="B774" s="30"/>
      <c r="C774" s="29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6.5" customHeight="1" x14ac:dyDescent="0.3">
      <c r="A775" s="34"/>
      <c r="B775" s="30"/>
      <c r="C775" s="29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6.5" customHeight="1" x14ac:dyDescent="0.3">
      <c r="A776" s="34"/>
      <c r="B776" s="30"/>
      <c r="C776" s="29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6.5" customHeight="1" x14ac:dyDescent="0.3">
      <c r="A777" s="34"/>
      <c r="B777" s="30"/>
      <c r="C777" s="29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6.5" customHeight="1" x14ac:dyDescent="0.3">
      <c r="A778" s="34"/>
      <c r="B778" s="30"/>
      <c r="C778" s="29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6.5" customHeight="1" x14ac:dyDescent="0.3">
      <c r="A779" s="34"/>
      <c r="B779" s="30"/>
      <c r="C779" s="29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6.5" customHeight="1" x14ac:dyDescent="0.3">
      <c r="A780" s="34"/>
      <c r="B780" s="30"/>
      <c r="C780" s="29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6.5" customHeight="1" x14ac:dyDescent="0.3">
      <c r="A781" s="34"/>
      <c r="B781" s="30"/>
      <c r="C781" s="29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6.5" customHeight="1" x14ac:dyDescent="0.3">
      <c r="A782" s="34"/>
      <c r="B782" s="30"/>
      <c r="C782" s="29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6.5" customHeight="1" x14ac:dyDescent="0.3">
      <c r="A783" s="34"/>
      <c r="B783" s="30"/>
      <c r="C783" s="29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6.5" customHeight="1" x14ac:dyDescent="0.3">
      <c r="A784" s="34"/>
      <c r="B784" s="30"/>
      <c r="C784" s="29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6.5" customHeight="1" x14ac:dyDescent="0.3">
      <c r="A785" s="34"/>
      <c r="B785" s="30"/>
      <c r="C785" s="29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6.5" customHeight="1" x14ac:dyDescent="0.3">
      <c r="A786" s="34"/>
      <c r="B786" s="30"/>
      <c r="C786" s="29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6.5" customHeight="1" x14ac:dyDescent="0.3">
      <c r="A787" s="34"/>
      <c r="B787" s="30"/>
      <c r="C787" s="29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6.5" customHeight="1" x14ac:dyDescent="0.3">
      <c r="A788" s="34"/>
      <c r="B788" s="30"/>
      <c r="C788" s="29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6.5" customHeight="1" x14ac:dyDescent="0.3">
      <c r="A789" s="34"/>
      <c r="B789" s="30"/>
      <c r="C789" s="29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6.5" customHeight="1" x14ac:dyDescent="0.3">
      <c r="A790" s="34"/>
      <c r="B790" s="30"/>
      <c r="C790" s="29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6.5" customHeight="1" x14ac:dyDescent="0.3">
      <c r="A791" s="34"/>
      <c r="B791" s="30"/>
      <c r="C791" s="29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6.5" customHeight="1" x14ac:dyDescent="0.3">
      <c r="A792" s="34"/>
      <c r="B792" s="30"/>
      <c r="C792" s="29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6.5" customHeight="1" x14ac:dyDescent="0.3">
      <c r="A793" s="34"/>
      <c r="B793" s="30"/>
      <c r="C793" s="29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6.5" customHeight="1" x14ac:dyDescent="0.3">
      <c r="A794" s="34"/>
      <c r="B794" s="30"/>
      <c r="C794" s="29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6.5" customHeight="1" x14ac:dyDescent="0.3">
      <c r="A795" s="34"/>
      <c r="B795" s="30"/>
      <c r="C795" s="29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6.5" customHeight="1" x14ac:dyDescent="0.3">
      <c r="A796" s="34"/>
      <c r="B796" s="30"/>
      <c r="C796" s="29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6.5" customHeight="1" x14ac:dyDescent="0.3">
      <c r="A797" s="34"/>
      <c r="B797" s="30"/>
      <c r="C797" s="29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6.5" customHeight="1" x14ac:dyDescent="0.3">
      <c r="A798" s="34"/>
      <c r="B798" s="30"/>
      <c r="C798" s="29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6.5" customHeight="1" x14ac:dyDescent="0.3">
      <c r="A799" s="34"/>
      <c r="B799" s="30"/>
      <c r="C799" s="29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6.5" customHeight="1" x14ac:dyDescent="0.3">
      <c r="A800" s="34"/>
      <c r="B800" s="30"/>
      <c r="C800" s="29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6.5" customHeight="1" x14ac:dyDescent="0.3">
      <c r="A801" s="34"/>
      <c r="B801" s="30"/>
      <c r="C801" s="29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6.5" customHeight="1" x14ac:dyDescent="0.3">
      <c r="A802" s="34"/>
      <c r="B802" s="30"/>
      <c r="C802" s="29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6.5" customHeight="1" x14ac:dyDescent="0.3">
      <c r="A803" s="34"/>
      <c r="B803" s="30"/>
      <c r="C803" s="29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6.5" customHeight="1" x14ac:dyDescent="0.3">
      <c r="A804" s="34"/>
      <c r="B804" s="30"/>
      <c r="C804" s="29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6.5" customHeight="1" x14ac:dyDescent="0.3">
      <c r="A805" s="34"/>
      <c r="B805" s="30"/>
      <c r="C805" s="29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6.5" customHeight="1" x14ac:dyDescent="0.3">
      <c r="A806" s="34"/>
      <c r="B806" s="30"/>
      <c r="C806" s="29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6.5" customHeight="1" x14ac:dyDescent="0.3">
      <c r="A807" s="34"/>
      <c r="B807" s="30"/>
      <c r="C807" s="29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6.5" customHeight="1" x14ac:dyDescent="0.3">
      <c r="A808" s="34"/>
      <c r="B808" s="30"/>
      <c r="C808" s="29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6.5" customHeight="1" x14ac:dyDescent="0.3">
      <c r="A809" s="34"/>
      <c r="B809" s="30"/>
      <c r="C809" s="29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6.5" customHeight="1" x14ac:dyDescent="0.3">
      <c r="A810" s="34"/>
      <c r="B810" s="30"/>
      <c r="C810" s="29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6.5" customHeight="1" x14ac:dyDescent="0.3">
      <c r="A811" s="34"/>
      <c r="B811" s="30"/>
      <c r="C811" s="29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6.5" customHeight="1" x14ac:dyDescent="0.3">
      <c r="A812" s="34"/>
      <c r="B812" s="30"/>
      <c r="C812" s="29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6.5" customHeight="1" x14ac:dyDescent="0.3">
      <c r="A813" s="34"/>
      <c r="B813" s="30"/>
      <c r="C813" s="29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6.5" customHeight="1" x14ac:dyDescent="0.3">
      <c r="A814" s="34"/>
      <c r="B814" s="30"/>
      <c r="C814" s="29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6.5" customHeight="1" x14ac:dyDescent="0.3">
      <c r="A815" s="34"/>
      <c r="B815" s="30"/>
      <c r="C815" s="29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6.5" customHeight="1" x14ac:dyDescent="0.3">
      <c r="A816" s="34"/>
      <c r="B816" s="30"/>
      <c r="C816" s="29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6.5" customHeight="1" x14ac:dyDescent="0.3">
      <c r="A817" s="34"/>
      <c r="B817" s="30"/>
      <c r="C817" s="29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6.5" customHeight="1" x14ac:dyDescent="0.3">
      <c r="A818" s="34"/>
      <c r="B818" s="30"/>
      <c r="C818" s="29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6.5" customHeight="1" x14ac:dyDescent="0.3">
      <c r="A819" s="34"/>
      <c r="B819" s="30"/>
      <c r="C819" s="29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6.5" customHeight="1" x14ac:dyDescent="0.3">
      <c r="A820" s="34"/>
      <c r="B820" s="30"/>
      <c r="C820" s="29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6.5" customHeight="1" x14ac:dyDescent="0.3">
      <c r="A821" s="34"/>
      <c r="B821" s="30"/>
      <c r="C821" s="29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6.5" customHeight="1" x14ac:dyDescent="0.3">
      <c r="A822" s="34"/>
      <c r="B822" s="30"/>
      <c r="C822" s="29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6.5" customHeight="1" x14ac:dyDescent="0.3">
      <c r="A823" s="34"/>
      <c r="B823" s="30"/>
      <c r="C823" s="29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6.5" customHeight="1" x14ac:dyDescent="0.3">
      <c r="A824" s="34"/>
      <c r="B824" s="30"/>
      <c r="C824" s="29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6.5" customHeight="1" x14ac:dyDescent="0.3">
      <c r="A825" s="34"/>
      <c r="B825" s="30"/>
      <c r="C825" s="29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6.5" customHeight="1" x14ac:dyDescent="0.3">
      <c r="A826" s="34"/>
      <c r="B826" s="30"/>
      <c r="C826" s="29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6.5" customHeight="1" x14ac:dyDescent="0.3">
      <c r="A827" s="34"/>
      <c r="B827" s="30"/>
      <c r="C827" s="29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6.5" customHeight="1" x14ac:dyDescent="0.3">
      <c r="A828" s="34"/>
      <c r="B828" s="30"/>
      <c r="C828" s="29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6.5" customHeight="1" x14ac:dyDescent="0.3">
      <c r="A829" s="34"/>
      <c r="B829" s="30"/>
      <c r="C829" s="29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6.5" customHeight="1" x14ac:dyDescent="0.3">
      <c r="A830" s="34"/>
      <c r="B830" s="30"/>
      <c r="C830" s="29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6.5" customHeight="1" x14ac:dyDescent="0.3">
      <c r="A831" s="34"/>
      <c r="B831" s="30"/>
      <c r="C831" s="29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6.5" customHeight="1" x14ac:dyDescent="0.3">
      <c r="A832" s="34"/>
      <c r="B832" s="30"/>
      <c r="C832" s="29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6.5" customHeight="1" x14ac:dyDescent="0.3">
      <c r="A833" s="34"/>
      <c r="B833" s="30"/>
      <c r="C833" s="29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6.5" customHeight="1" x14ac:dyDescent="0.3">
      <c r="A834" s="34"/>
      <c r="B834" s="30"/>
      <c r="C834" s="29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6.5" customHeight="1" x14ac:dyDescent="0.3">
      <c r="A835" s="34"/>
      <c r="B835" s="30"/>
      <c r="C835" s="29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6.5" customHeight="1" x14ac:dyDescent="0.3">
      <c r="A836" s="34"/>
      <c r="B836" s="30"/>
      <c r="C836" s="29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6.5" customHeight="1" x14ac:dyDescent="0.3">
      <c r="A837" s="34"/>
      <c r="B837" s="30"/>
      <c r="C837" s="29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6.5" customHeight="1" x14ac:dyDescent="0.3">
      <c r="A838" s="34"/>
      <c r="B838" s="30"/>
      <c r="C838" s="29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6.5" customHeight="1" x14ac:dyDescent="0.3">
      <c r="A839" s="34"/>
      <c r="B839" s="30"/>
      <c r="C839" s="29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6.5" customHeight="1" x14ac:dyDescent="0.3">
      <c r="A840" s="34"/>
      <c r="B840" s="30"/>
      <c r="C840" s="29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6.5" customHeight="1" x14ac:dyDescent="0.3">
      <c r="A841" s="34"/>
      <c r="B841" s="30"/>
      <c r="C841" s="29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6.5" customHeight="1" x14ac:dyDescent="0.3">
      <c r="A842" s="34"/>
      <c r="B842" s="30"/>
      <c r="C842" s="29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6.5" customHeight="1" x14ac:dyDescent="0.3">
      <c r="A843" s="34"/>
      <c r="B843" s="30"/>
      <c r="C843" s="29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6.5" customHeight="1" x14ac:dyDescent="0.3">
      <c r="A844" s="34"/>
      <c r="B844" s="30"/>
      <c r="C844" s="29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6.5" customHeight="1" x14ac:dyDescent="0.3">
      <c r="A845" s="34"/>
      <c r="B845" s="30"/>
      <c r="C845" s="29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6.5" customHeight="1" x14ac:dyDescent="0.3">
      <c r="A846" s="34"/>
      <c r="B846" s="30"/>
      <c r="C846" s="29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6.5" customHeight="1" x14ac:dyDescent="0.3">
      <c r="A847" s="34"/>
      <c r="B847" s="30"/>
      <c r="C847" s="29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6.5" customHeight="1" x14ac:dyDescent="0.3">
      <c r="A848" s="34"/>
      <c r="B848" s="30"/>
      <c r="C848" s="29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6.5" customHeight="1" x14ac:dyDescent="0.3">
      <c r="A849" s="34"/>
      <c r="B849" s="30"/>
      <c r="C849" s="29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6.5" customHeight="1" x14ac:dyDescent="0.3">
      <c r="A850" s="34"/>
      <c r="B850" s="30"/>
      <c r="C850" s="29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6.5" customHeight="1" x14ac:dyDescent="0.3">
      <c r="A851" s="34"/>
      <c r="B851" s="30"/>
      <c r="C851" s="29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6.5" customHeight="1" x14ac:dyDescent="0.3">
      <c r="A852" s="34"/>
      <c r="B852" s="30"/>
      <c r="C852" s="29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6.5" customHeight="1" x14ac:dyDescent="0.3">
      <c r="A853" s="34"/>
      <c r="B853" s="30"/>
      <c r="C853" s="29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6.5" customHeight="1" x14ac:dyDescent="0.3">
      <c r="A854" s="34"/>
      <c r="B854" s="30"/>
      <c r="C854" s="29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6.5" customHeight="1" x14ac:dyDescent="0.3">
      <c r="A855" s="34"/>
      <c r="B855" s="30"/>
      <c r="C855" s="29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6.5" customHeight="1" x14ac:dyDescent="0.3">
      <c r="A856" s="34"/>
      <c r="B856" s="30"/>
      <c r="C856" s="29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6.5" customHeight="1" x14ac:dyDescent="0.3">
      <c r="A857" s="34"/>
      <c r="B857" s="30"/>
      <c r="C857" s="29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6.5" customHeight="1" x14ac:dyDescent="0.3">
      <c r="A858" s="34"/>
      <c r="B858" s="30"/>
      <c r="C858" s="29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6.5" customHeight="1" x14ac:dyDescent="0.3">
      <c r="A859" s="34"/>
      <c r="B859" s="30"/>
      <c r="C859" s="29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6.5" customHeight="1" x14ac:dyDescent="0.3">
      <c r="A860" s="34"/>
      <c r="B860" s="30"/>
      <c r="C860" s="29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6.5" customHeight="1" x14ac:dyDescent="0.3">
      <c r="A861" s="34"/>
      <c r="B861" s="30"/>
      <c r="C861" s="29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6.5" customHeight="1" x14ac:dyDescent="0.3">
      <c r="A862" s="34"/>
      <c r="B862" s="30"/>
      <c r="C862" s="29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6.5" customHeight="1" x14ac:dyDescent="0.3">
      <c r="A863" s="34"/>
      <c r="B863" s="30"/>
      <c r="C863" s="29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6.5" customHeight="1" x14ac:dyDescent="0.3">
      <c r="A864" s="34"/>
      <c r="B864" s="30"/>
      <c r="C864" s="29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6.5" customHeight="1" x14ac:dyDescent="0.3">
      <c r="A865" s="34"/>
      <c r="B865" s="30"/>
      <c r="C865" s="29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6.5" customHeight="1" x14ac:dyDescent="0.3">
      <c r="A866" s="34"/>
      <c r="B866" s="30"/>
      <c r="C866" s="29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6.5" customHeight="1" x14ac:dyDescent="0.3">
      <c r="A867" s="34"/>
      <c r="B867" s="30"/>
      <c r="C867" s="29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6.5" customHeight="1" x14ac:dyDescent="0.3">
      <c r="A868" s="34"/>
      <c r="B868" s="30"/>
      <c r="C868" s="29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6.5" customHeight="1" x14ac:dyDescent="0.3">
      <c r="A869" s="34"/>
      <c r="B869" s="30"/>
      <c r="C869" s="29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6.5" customHeight="1" x14ac:dyDescent="0.3">
      <c r="A870" s="34"/>
      <c r="B870" s="30"/>
      <c r="C870" s="29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6.5" customHeight="1" x14ac:dyDescent="0.3">
      <c r="A871" s="34"/>
      <c r="B871" s="30"/>
      <c r="C871" s="29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6.5" customHeight="1" x14ac:dyDescent="0.3">
      <c r="A872" s="34"/>
      <c r="B872" s="30"/>
      <c r="C872" s="29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6.5" customHeight="1" x14ac:dyDescent="0.3">
      <c r="A873" s="34"/>
      <c r="B873" s="30"/>
      <c r="C873" s="29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6.5" customHeight="1" x14ac:dyDescent="0.3">
      <c r="A874" s="34"/>
      <c r="B874" s="30"/>
      <c r="C874" s="29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6.5" customHeight="1" x14ac:dyDescent="0.3">
      <c r="A875" s="34"/>
      <c r="B875" s="30"/>
      <c r="C875" s="29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6.5" customHeight="1" x14ac:dyDescent="0.3">
      <c r="A876" s="34"/>
      <c r="B876" s="30"/>
      <c r="C876" s="29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6.5" customHeight="1" x14ac:dyDescent="0.3">
      <c r="A877" s="34"/>
      <c r="B877" s="30"/>
      <c r="C877" s="29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6.5" customHeight="1" x14ac:dyDescent="0.3">
      <c r="A878" s="34"/>
      <c r="B878" s="30"/>
      <c r="C878" s="29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6.5" customHeight="1" x14ac:dyDescent="0.3">
      <c r="A879" s="34"/>
      <c r="B879" s="30"/>
      <c r="C879" s="29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6.5" customHeight="1" x14ac:dyDescent="0.3">
      <c r="A880" s="34"/>
      <c r="B880" s="30"/>
      <c r="C880" s="29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6.5" customHeight="1" x14ac:dyDescent="0.3">
      <c r="A881" s="34"/>
      <c r="B881" s="30"/>
      <c r="C881" s="29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6.5" customHeight="1" x14ac:dyDescent="0.3">
      <c r="A882" s="34"/>
      <c r="B882" s="30"/>
      <c r="C882" s="29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6.5" customHeight="1" x14ac:dyDescent="0.3">
      <c r="A883" s="34"/>
      <c r="B883" s="30"/>
      <c r="C883" s="29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6.5" customHeight="1" x14ac:dyDescent="0.3">
      <c r="A884" s="34"/>
      <c r="B884" s="30"/>
      <c r="C884" s="29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6.5" customHeight="1" x14ac:dyDescent="0.3">
      <c r="A885" s="34"/>
      <c r="B885" s="30"/>
      <c r="C885" s="29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6.5" customHeight="1" x14ac:dyDescent="0.3">
      <c r="A886" s="34"/>
      <c r="B886" s="30"/>
      <c r="C886" s="29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6.5" customHeight="1" x14ac:dyDescent="0.3">
      <c r="A887" s="34"/>
      <c r="B887" s="30"/>
      <c r="C887" s="29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6.5" customHeight="1" x14ac:dyDescent="0.3">
      <c r="A888" s="34"/>
      <c r="B888" s="30"/>
      <c r="C888" s="29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6.5" customHeight="1" x14ac:dyDescent="0.3">
      <c r="A889" s="34"/>
      <c r="B889" s="30"/>
      <c r="C889" s="29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6.5" customHeight="1" x14ac:dyDescent="0.3">
      <c r="A890" s="34"/>
      <c r="B890" s="30"/>
      <c r="C890" s="29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6.5" customHeight="1" x14ac:dyDescent="0.3">
      <c r="A891" s="34"/>
      <c r="B891" s="30"/>
      <c r="C891" s="29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6.5" customHeight="1" x14ac:dyDescent="0.3">
      <c r="A892" s="34"/>
      <c r="B892" s="30"/>
      <c r="C892" s="29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6.5" customHeight="1" x14ac:dyDescent="0.3">
      <c r="A893" s="34"/>
      <c r="B893" s="30"/>
      <c r="C893" s="29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6.5" customHeight="1" x14ac:dyDescent="0.3">
      <c r="A894" s="34"/>
      <c r="B894" s="30"/>
      <c r="C894" s="29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6.5" customHeight="1" x14ac:dyDescent="0.3">
      <c r="A895" s="34"/>
      <c r="B895" s="30"/>
      <c r="C895" s="29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6.5" customHeight="1" x14ac:dyDescent="0.3">
      <c r="A896" s="34"/>
      <c r="B896" s="30"/>
      <c r="C896" s="29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6.5" customHeight="1" x14ac:dyDescent="0.3">
      <c r="A897" s="34"/>
      <c r="B897" s="30"/>
      <c r="C897" s="29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6.5" customHeight="1" x14ac:dyDescent="0.3">
      <c r="A898" s="34"/>
      <c r="B898" s="30"/>
      <c r="C898" s="29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6.5" customHeight="1" x14ac:dyDescent="0.3">
      <c r="A899" s="34"/>
      <c r="B899" s="30"/>
      <c r="C899" s="29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6.5" customHeight="1" x14ac:dyDescent="0.3">
      <c r="A900" s="34"/>
      <c r="B900" s="30"/>
      <c r="C900" s="29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6.5" customHeight="1" x14ac:dyDescent="0.3">
      <c r="A901" s="34"/>
      <c r="B901" s="30"/>
      <c r="C901" s="29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6.5" customHeight="1" x14ac:dyDescent="0.3">
      <c r="A902" s="34"/>
      <c r="B902" s="30"/>
      <c r="C902" s="29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6.5" customHeight="1" x14ac:dyDescent="0.3">
      <c r="A903" s="34"/>
      <c r="B903" s="30"/>
      <c r="C903" s="29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6.5" customHeight="1" x14ac:dyDescent="0.3">
      <c r="A904" s="34"/>
      <c r="B904" s="30"/>
      <c r="C904" s="29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6.5" customHeight="1" x14ac:dyDescent="0.3">
      <c r="A905" s="34"/>
      <c r="B905" s="30"/>
      <c r="C905" s="29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6.5" customHeight="1" x14ac:dyDescent="0.3">
      <c r="A906" s="34"/>
      <c r="B906" s="30"/>
      <c r="C906" s="29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6.5" customHeight="1" x14ac:dyDescent="0.3">
      <c r="A907" s="34"/>
      <c r="B907" s="30"/>
      <c r="C907" s="29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6.5" customHeight="1" x14ac:dyDescent="0.3">
      <c r="A908" s="34"/>
      <c r="B908" s="30"/>
      <c r="C908" s="29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6.5" customHeight="1" x14ac:dyDescent="0.3">
      <c r="A909" s="34"/>
      <c r="B909" s="30"/>
      <c r="C909" s="29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6.5" customHeight="1" x14ac:dyDescent="0.3">
      <c r="A910" s="34"/>
      <c r="B910" s="30"/>
      <c r="C910" s="29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6.5" customHeight="1" x14ac:dyDescent="0.3">
      <c r="A911" s="34"/>
      <c r="B911" s="30"/>
      <c r="C911" s="29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6.5" customHeight="1" x14ac:dyDescent="0.3">
      <c r="A912" s="34"/>
      <c r="B912" s="30"/>
      <c r="C912" s="29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6.5" customHeight="1" x14ac:dyDescent="0.3">
      <c r="A913" s="34"/>
      <c r="B913" s="30"/>
      <c r="C913" s="29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6.5" customHeight="1" x14ac:dyDescent="0.3">
      <c r="A914" s="34"/>
      <c r="B914" s="30"/>
      <c r="C914" s="29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6.5" customHeight="1" x14ac:dyDescent="0.3">
      <c r="A915" s="34"/>
      <c r="B915" s="30"/>
      <c r="C915" s="29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6.5" customHeight="1" x14ac:dyDescent="0.3">
      <c r="A916" s="34"/>
      <c r="B916" s="30"/>
      <c r="C916" s="29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6.5" customHeight="1" x14ac:dyDescent="0.3">
      <c r="A917" s="34"/>
      <c r="B917" s="30"/>
      <c r="C917" s="29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6.5" customHeight="1" x14ac:dyDescent="0.3">
      <c r="A918" s="34"/>
      <c r="B918" s="30"/>
      <c r="C918" s="29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6.5" customHeight="1" x14ac:dyDescent="0.3">
      <c r="A919" s="34"/>
      <c r="B919" s="30"/>
      <c r="C919" s="29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6.5" customHeight="1" x14ac:dyDescent="0.3">
      <c r="A920" s="34"/>
      <c r="B920" s="30"/>
      <c r="C920" s="29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6.5" customHeight="1" x14ac:dyDescent="0.3">
      <c r="A921" s="34"/>
      <c r="B921" s="30"/>
      <c r="C921" s="29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6.5" customHeight="1" x14ac:dyDescent="0.3">
      <c r="A922" s="34"/>
      <c r="B922" s="30"/>
      <c r="C922" s="29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6.5" customHeight="1" x14ac:dyDescent="0.3">
      <c r="A923" s="34"/>
      <c r="B923" s="30"/>
      <c r="C923" s="29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6.5" customHeight="1" x14ac:dyDescent="0.3">
      <c r="A924" s="34"/>
      <c r="B924" s="30"/>
      <c r="C924" s="29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6.5" customHeight="1" x14ac:dyDescent="0.3">
      <c r="A925" s="34"/>
      <c r="B925" s="30"/>
      <c r="C925" s="29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6.5" customHeight="1" x14ac:dyDescent="0.3">
      <c r="A926" s="34"/>
      <c r="B926" s="30"/>
      <c r="C926" s="29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6.5" customHeight="1" x14ac:dyDescent="0.3">
      <c r="A927" s="34"/>
      <c r="B927" s="30"/>
      <c r="C927" s="29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6.5" customHeight="1" x14ac:dyDescent="0.3">
      <c r="A928" s="34"/>
      <c r="B928" s="30"/>
      <c r="C928" s="29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6.5" customHeight="1" x14ac:dyDescent="0.3">
      <c r="A929" s="34"/>
      <c r="B929" s="30"/>
      <c r="C929" s="29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6.5" customHeight="1" x14ac:dyDescent="0.3">
      <c r="A930" s="34"/>
      <c r="B930" s="30"/>
      <c r="C930" s="29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6.5" customHeight="1" x14ac:dyDescent="0.3">
      <c r="A931" s="34"/>
      <c r="B931" s="30"/>
      <c r="C931" s="29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6.5" customHeight="1" x14ac:dyDescent="0.3">
      <c r="A932" s="34"/>
      <c r="B932" s="30"/>
      <c r="C932" s="29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6.5" customHeight="1" x14ac:dyDescent="0.3">
      <c r="A933" s="34"/>
      <c r="B933" s="30"/>
      <c r="C933" s="29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6.5" customHeight="1" x14ac:dyDescent="0.3">
      <c r="A934" s="34"/>
      <c r="B934" s="30"/>
      <c r="C934" s="29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6.5" customHeight="1" x14ac:dyDescent="0.3">
      <c r="A935" s="34"/>
      <c r="B935" s="30"/>
      <c r="C935" s="29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6.5" customHeight="1" x14ac:dyDescent="0.3">
      <c r="A936" s="34"/>
      <c r="B936" s="30"/>
      <c r="C936" s="29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6.5" customHeight="1" x14ac:dyDescent="0.3">
      <c r="A937" s="34"/>
      <c r="B937" s="30"/>
      <c r="C937" s="29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6.5" customHeight="1" x14ac:dyDescent="0.3">
      <c r="A938" s="34"/>
      <c r="B938" s="30"/>
      <c r="C938" s="29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6.5" customHeight="1" x14ac:dyDescent="0.3">
      <c r="A939" s="34"/>
      <c r="B939" s="30"/>
      <c r="C939" s="29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6.5" customHeight="1" x14ac:dyDescent="0.3">
      <c r="A940" s="34"/>
      <c r="B940" s="30"/>
      <c r="C940" s="29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6.5" customHeight="1" x14ac:dyDescent="0.3">
      <c r="A941" s="34"/>
      <c r="B941" s="30"/>
      <c r="C941" s="29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6.5" customHeight="1" x14ac:dyDescent="0.3">
      <c r="A942" s="34"/>
      <c r="B942" s="30"/>
      <c r="C942" s="29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6.5" customHeight="1" x14ac:dyDescent="0.3">
      <c r="A943" s="34"/>
      <c r="B943" s="30"/>
      <c r="C943" s="29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6.5" customHeight="1" x14ac:dyDescent="0.3">
      <c r="A944" s="34"/>
      <c r="B944" s="30"/>
      <c r="C944" s="29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6.5" customHeight="1" x14ac:dyDescent="0.3">
      <c r="A945" s="34"/>
      <c r="B945" s="30"/>
      <c r="C945" s="29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6.5" customHeight="1" x14ac:dyDescent="0.3">
      <c r="A946" s="34"/>
      <c r="B946" s="30"/>
      <c r="C946" s="29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6.5" customHeight="1" x14ac:dyDescent="0.3">
      <c r="A947" s="34"/>
      <c r="B947" s="30"/>
      <c r="C947" s="29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6.5" customHeight="1" x14ac:dyDescent="0.3">
      <c r="A948" s="34"/>
      <c r="B948" s="30"/>
      <c r="C948" s="29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6.5" customHeight="1" x14ac:dyDescent="0.3">
      <c r="A949" s="34"/>
      <c r="B949" s="30"/>
      <c r="C949" s="29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6.5" customHeight="1" x14ac:dyDescent="0.3">
      <c r="A950" s="34"/>
      <c r="B950" s="30"/>
      <c r="C950" s="29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6.5" customHeight="1" x14ac:dyDescent="0.3">
      <c r="A951" s="34"/>
      <c r="B951" s="30"/>
      <c r="C951" s="29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6.5" customHeight="1" x14ac:dyDescent="0.3">
      <c r="A952" s="34"/>
      <c r="B952" s="30"/>
      <c r="C952" s="29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6.5" customHeight="1" x14ac:dyDescent="0.3">
      <c r="A953" s="34"/>
      <c r="B953" s="30"/>
      <c r="C953" s="29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6.5" customHeight="1" x14ac:dyDescent="0.3">
      <c r="A954" s="34"/>
      <c r="B954" s="30"/>
      <c r="C954" s="29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6.5" customHeight="1" x14ac:dyDescent="0.3">
      <c r="A955" s="34"/>
      <c r="B955" s="30"/>
      <c r="C955" s="29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6.5" customHeight="1" x14ac:dyDescent="0.3">
      <c r="A956" s="34"/>
      <c r="B956" s="30"/>
      <c r="C956" s="29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6.5" customHeight="1" x14ac:dyDescent="0.3">
      <c r="A957" s="34"/>
      <c r="B957" s="30"/>
      <c r="C957" s="29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6.5" customHeight="1" x14ac:dyDescent="0.3">
      <c r="A958" s="34"/>
      <c r="B958" s="30"/>
      <c r="C958" s="29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6.5" customHeight="1" x14ac:dyDescent="0.3">
      <c r="A959" s="34"/>
      <c r="B959" s="30"/>
      <c r="C959" s="29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6.5" customHeight="1" x14ac:dyDescent="0.3">
      <c r="A960" s="34"/>
      <c r="B960" s="30"/>
      <c r="C960" s="29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6.5" customHeight="1" x14ac:dyDescent="0.3">
      <c r="A961" s="34"/>
      <c r="B961" s="30"/>
      <c r="C961" s="29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6.5" customHeight="1" x14ac:dyDescent="0.3">
      <c r="A962" s="34"/>
      <c r="B962" s="30"/>
      <c r="C962" s="29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6.5" customHeight="1" x14ac:dyDescent="0.3">
      <c r="A963" s="34"/>
      <c r="B963" s="30"/>
      <c r="C963" s="29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6.5" customHeight="1" x14ac:dyDescent="0.3">
      <c r="A964" s="34"/>
      <c r="B964" s="30"/>
      <c r="C964" s="29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6.5" customHeight="1" x14ac:dyDescent="0.3">
      <c r="A965" s="34"/>
      <c r="B965" s="30"/>
      <c r="C965" s="29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6.5" customHeight="1" x14ac:dyDescent="0.3">
      <c r="A966" s="34"/>
      <c r="B966" s="30"/>
      <c r="C966" s="29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6.5" customHeight="1" x14ac:dyDescent="0.3">
      <c r="A967" s="34"/>
      <c r="B967" s="30"/>
      <c r="C967" s="29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6.5" customHeight="1" x14ac:dyDescent="0.3">
      <c r="A968" s="34"/>
      <c r="B968" s="30"/>
      <c r="C968" s="29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6.5" customHeight="1" x14ac:dyDescent="0.3">
      <c r="A969" s="34"/>
      <c r="B969" s="30"/>
      <c r="C969" s="29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6.5" customHeight="1" x14ac:dyDescent="0.3">
      <c r="A970" s="34"/>
      <c r="B970" s="30"/>
      <c r="C970" s="29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6.5" customHeight="1" x14ac:dyDescent="0.3">
      <c r="A971" s="34"/>
      <c r="B971" s="30"/>
      <c r="C971" s="29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6.5" customHeight="1" x14ac:dyDescent="0.3">
      <c r="A972" s="34"/>
      <c r="B972" s="30"/>
      <c r="C972" s="29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6.5" customHeight="1" x14ac:dyDescent="0.3">
      <c r="A973" s="34"/>
      <c r="B973" s="30"/>
      <c r="C973" s="29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6.5" customHeight="1" x14ac:dyDescent="0.3">
      <c r="A974" s="34"/>
      <c r="B974" s="30"/>
      <c r="C974" s="29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6.5" customHeight="1" x14ac:dyDescent="0.3">
      <c r="A975" s="34"/>
      <c r="B975" s="30"/>
      <c r="C975" s="29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6.5" customHeight="1" x14ac:dyDescent="0.3">
      <c r="A976" s="34"/>
      <c r="B976" s="30"/>
      <c r="C976" s="29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6.5" customHeight="1" x14ac:dyDescent="0.3">
      <c r="A977" s="34"/>
      <c r="B977" s="30"/>
      <c r="C977" s="29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6.5" customHeight="1" x14ac:dyDescent="0.3">
      <c r="A978" s="34"/>
      <c r="B978" s="30"/>
      <c r="C978" s="29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6.5" customHeight="1" x14ac:dyDescent="0.3">
      <c r="A979" s="34"/>
      <c r="B979" s="30"/>
      <c r="C979" s="29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6.5" customHeight="1" x14ac:dyDescent="0.3">
      <c r="A980" s="34"/>
      <c r="B980" s="30"/>
      <c r="C980" s="29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6.5" customHeight="1" x14ac:dyDescent="0.3">
      <c r="A981" s="34"/>
      <c r="B981" s="30"/>
      <c r="C981" s="29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6.5" customHeight="1" x14ac:dyDescent="0.3">
      <c r="A982" s="34"/>
      <c r="B982" s="30"/>
      <c r="C982" s="29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6.5" customHeight="1" x14ac:dyDescent="0.3">
      <c r="A983" s="34"/>
      <c r="B983" s="30"/>
      <c r="C983" s="29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6.5" customHeight="1" x14ac:dyDescent="0.3">
      <c r="A984" s="34"/>
      <c r="B984" s="30"/>
      <c r="C984" s="29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6.5" customHeight="1" x14ac:dyDescent="0.3">
      <c r="A985" s="34"/>
      <c r="B985" s="30"/>
      <c r="C985" s="29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6.5" customHeight="1" x14ac:dyDescent="0.3">
      <c r="A986" s="34"/>
      <c r="B986" s="30"/>
      <c r="C986" s="29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6.5" customHeight="1" x14ac:dyDescent="0.3">
      <c r="A987" s="34"/>
      <c r="B987" s="30"/>
      <c r="C987" s="29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6.5" customHeight="1" x14ac:dyDescent="0.3">
      <c r="A988" s="34"/>
      <c r="B988" s="30"/>
      <c r="C988" s="29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6.5" customHeight="1" x14ac:dyDescent="0.3">
      <c r="A989" s="34"/>
      <c r="B989" s="30"/>
      <c r="C989" s="29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6.5" customHeight="1" x14ac:dyDescent="0.3">
      <c r="A990" s="34"/>
      <c r="B990" s="30"/>
      <c r="C990" s="29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6.5" customHeight="1" x14ac:dyDescent="0.3">
      <c r="A991" s="34"/>
      <c r="B991" s="30"/>
      <c r="C991" s="29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6.5" customHeight="1" x14ac:dyDescent="0.3">
      <c r="A992" s="34"/>
      <c r="B992" s="30"/>
      <c r="C992" s="29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6.5" customHeight="1" x14ac:dyDescent="0.3">
      <c r="A993" s="34"/>
      <c r="B993" s="30"/>
      <c r="C993" s="29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6.5" customHeight="1" x14ac:dyDescent="0.3">
      <c r="A994" s="34"/>
      <c r="B994" s="30"/>
      <c r="C994" s="29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6.5" customHeight="1" x14ac:dyDescent="0.3">
      <c r="A995" s="34"/>
      <c r="B995" s="30"/>
      <c r="C995" s="29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6.5" customHeight="1" x14ac:dyDescent="0.3">
      <c r="A996" s="34"/>
      <c r="B996" s="30"/>
      <c r="C996" s="29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6.5" customHeight="1" x14ac:dyDescent="0.3">
      <c r="A997" s="34"/>
      <c r="B997" s="30"/>
      <c r="C997" s="29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6.5" customHeight="1" x14ac:dyDescent="0.3">
      <c r="A998" s="34"/>
      <c r="B998" s="30"/>
      <c r="C998" s="29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6.5" customHeight="1" x14ac:dyDescent="0.3">
      <c r="A999" s="34"/>
      <c r="B999" s="30"/>
      <c r="C999" s="29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6.5" customHeight="1" x14ac:dyDescent="0.3">
      <c r="A1000" s="34"/>
      <c r="B1000" s="30"/>
      <c r="C1000" s="29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B3:D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G997"/>
  <sheetViews>
    <sheetView topLeftCell="A100" zoomScale="110" zoomScaleNormal="110" workbookViewId="0">
      <selection activeCell="J113" sqref="J113"/>
    </sheetView>
  </sheetViews>
  <sheetFormatPr baseColWidth="10" defaultColWidth="14.42578125" defaultRowHeight="15" customHeight="1" x14ac:dyDescent="0.25"/>
  <cols>
    <col min="1" max="1" width="9.140625" style="15" customWidth="1"/>
    <col min="2" max="2" width="10" customWidth="1"/>
    <col min="3" max="3" width="10.42578125" style="57" customWidth="1"/>
    <col min="4" max="4" width="20.85546875" customWidth="1"/>
    <col min="5" max="5" width="16.140625" customWidth="1"/>
    <col min="6" max="6" width="23.7109375" customWidth="1"/>
    <col min="7" max="7" width="11.7109375" customWidth="1"/>
    <col min="8" max="8" width="10" style="75" customWidth="1"/>
    <col min="9" max="9" width="13" customWidth="1"/>
    <col min="10" max="10" width="15" style="13" customWidth="1"/>
    <col min="11" max="11" width="28.7109375" style="149" customWidth="1"/>
    <col min="12" max="12" width="26" style="78" customWidth="1"/>
    <col min="13" max="25" width="9.140625" style="15" customWidth="1"/>
    <col min="26" max="59" width="14.42578125" style="15"/>
  </cols>
  <sheetData>
    <row r="1" spans="1:13" s="15" customFormat="1" ht="15" customHeight="1" x14ac:dyDescent="0.25">
      <c r="A1" s="44"/>
      <c r="C1" s="54"/>
      <c r="H1" s="72"/>
      <c r="J1" s="17"/>
      <c r="K1" s="149"/>
      <c r="L1" s="78"/>
    </row>
    <row r="2" spans="1:13" ht="20.25" x14ac:dyDescent="0.3">
      <c r="B2" s="170" t="s">
        <v>8</v>
      </c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3" ht="32.25" customHeight="1" thickBot="1" x14ac:dyDescent="0.35">
      <c r="B3" s="19" t="s">
        <v>78</v>
      </c>
      <c r="C3" s="55" t="s">
        <v>1</v>
      </c>
      <c r="D3" s="20" t="s">
        <v>9</v>
      </c>
      <c r="E3" s="20" t="s">
        <v>88</v>
      </c>
      <c r="F3" s="20" t="s">
        <v>10</v>
      </c>
      <c r="G3" s="20" t="s">
        <v>11</v>
      </c>
      <c r="H3" s="73" t="s">
        <v>12</v>
      </c>
      <c r="I3" s="20" t="s">
        <v>13</v>
      </c>
      <c r="J3" s="14" t="s">
        <v>17</v>
      </c>
      <c r="K3" s="150" t="s">
        <v>131</v>
      </c>
      <c r="L3" s="118" t="s">
        <v>177</v>
      </c>
    </row>
    <row r="4" spans="1:13" ht="17.25" thickBot="1" x14ac:dyDescent="0.35">
      <c r="B4" s="96" t="s">
        <v>40</v>
      </c>
      <c r="C4" s="97">
        <v>46168</v>
      </c>
      <c r="D4" s="98" t="s">
        <v>56</v>
      </c>
      <c r="E4" s="98"/>
      <c r="F4" s="98" t="s">
        <v>79</v>
      </c>
      <c r="G4" s="99">
        <f>SUMIFS(Product!$D$5:$D$24,Product!$C$5:$C$24,Venta!F4)</f>
        <v>130</v>
      </c>
      <c r="H4" s="100">
        <v>6</v>
      </c>
      <c r="I4" s="101">
        <f t="shared" ref="I4:I67" si="0">G4*H4</f>
        <v>780</v>
      </c>
      <c r="J4" s="112" t="s">
        <v>83</v>
      </c>
    </row>
    <row r="5" spans="1:13" ht="17.25" thickBot="1" x14ac:dyDescent="0.35">
      <c r="B5" s="102" t="s">
        <v>40</v>
      </c>
      <c r="C5" s="103">
        <v>46168</v>
      </c>
      <c r="D5" s="98" t="s">
        <v>56</v>
      </c>
      <c r="E5" s="98"/>
      <c r="F5" s="104" t="s">
        <v>79</v>
      </c>
      <c r="G5" s="105">
        <f>SUMIFS(Product!$D$5:$D$24,Product!$C$5:$C$24,Venta!F5)</f>
        <v>130</v>
      </c>
      <c r="H5" s="106">
        <v>9</v>
      </c>
      <c r="I5" s="107">
        <f t="shared" si="0"/>
        <v>1170</v>
      </c>
      <c r="J5" s="113" t="s">
        <v>2</v>
      </c>
    </row>
    <row r="6" spans="1:13" ht="17.25" thickBot="1" x14ac:dyDescent="0.35">
      <c r="B6" s="102" t="s">
        <v>40</v>
      </c>
      <c r="C6" s="97">
        <v>46168</v>
      </c>
      <c r="D6" s="98" t="s">
        <v>56</v>
      </c>
      <c r="E6" s="98"/>
      <c r="F6" s="104" t="s">
        <v>80</v>
      </c>
      <c r="G6" s="105">
        <f>SUMIFS(Product!$D$5:$D$24,Product!$C$5:$C$24,Venta!F6)</f>
        <v>130</v>
      </c>
      <c r="H6" s="106">
        <v>4</v>
      </c>
      <c r="I6" s="107">
        <f t="shared" si="0"/>
        <v>520</v>
      </c>
      <c r="J6" s="113" t="s">
        <v>83</v>
      </c>
    </row>
    <row r="7" spans="1:13" ht="17.25" thickBot="1" x14ac:dyDescent="0.35">
      <c r="B7" s="96" t="s">
        <v>40</v>
      </c>
      <c r="C7" s="103">
        <v>46168</v>
      </c>
      <c r="D7" s="98" t="s">
        <v>56</v>
      </c>
      <c r="E7" s="98"/>
      <c r="F7" s="104" t="s">
        <v>80</v>
      </c>
      <c r="G7" s="105">
        <f>SUMIFS(Product!$D$5:$D$24,Product!$C$5:$C$24,Venta!F7)</f>
        <v>130</v>
      </c>
      <c r="H7" s="106">
        <v>6</v>
      </c>
      <c r="I7" s="107">
        <f t="shared" si="0"/>
        <v>780</v>
      </c>
      <c r="J7" s="113" t="s">
        <v>2</v>
      </c>
    </row>
    <row r="8" spans="1:13" ht="17.25" thickBot="1" x14ac:dyDescent="0.35">
      <c r="B8" s="102" t="s">
        <v>40</v>
      </c>
      <c r="C8" s="97">
        <v>46168</v>
      </c>
      <c r="D8" s="98" t="s">
        <v>56</v>
      </c>
      <c r="E8" s="98"/>
      <c r="F8" s="104" t="s">
        <v>81</v>
      </c>
      <c r="G8" s="105">
        <f>SUMIFS(Product!$D$5:$D$24,Product!$C$5:$C$24,Venta!F8)</f>
        <v>130</v>
      </c>
      <c r="H8" s="106">
        <v>1</v>
      </c>
      <c r="I8" s="107">
        <f t="shared" si="0"/>
        <v>130</v>
      </c>
      <c r="J8" s="113" t="s">
        <v>83</v>
      </c>
      <c r="M8" s="15" t="s">
        <v>127</v>
      </c>
    </row>
    <row r="9" spans="1:13" ht="16.5" x14ac:dyDescent="0.3">
      <c r="B9" s="102" t="s">
        <v>40</v>
      </c>
      <c r="C9" s="103">
        <v>46168</v>
      </c>
      <c r="D9" s="98" t="s">
        <v>56</v>
      </c>
      <c r="E9" s="98"/>
      <c r="F9" s="104" t="s">
        <v>81</v>
      </c>
      <c r="G9" s="105">
        <f>SUMIFS(Product!$D$5:$D$24,Product!$C$5:$C$24,Venta!F9)</f>
        <v>130</v>
      </c>
      <c r="H9" s="106">
        <v>3</v>
      </c>
      <c r="I9" s="107">
        <f t="shared" si="0"/>
        <v>390</v>
      </c>
      <c r="J9" s="113" t="s">
        <v>2</v>
      </c>
      <c r="M9" s="108">
        <f>SUM(H4:H9)</f>
        <v>29</v>
      </c>
    </row>
    <row r="10" spans="1:13" ht="17.25" thickBot="1" x14ac:dyDescent="0.35">
      <c r="B10" s="65" t="s">
        <v>40</v>
      </c>
      <c r="C10" s="66">
        <v>46169</v>
      </c>
      <c r="D10" s="67" t="s">
        <v>100</v>
      </c>
      <c r="E10" s="67" t="s">
        <v>89</v>
      </c>
      <c r="F10" s="67" t="s">
        <v>79</v>
      </c>
      <c r="G10" s="68">
        <f>SUMIFS(Product!$D$5:$D$24,Product!$C$5:$C$24,Venta!F15)</f>
        <v>130</v>
      </c>
      <c r="H10" s="92">
        <v>1</v>
      </c>
      <c r="I10" s="69">
        <f t="shared" si="0"/>
        <v>130</v>
      </c>
      <c r="J10" s="114" t="s">
        <v>83</v>
      </c>
      <c r="L10" s="78" t="s">
        <v>178</v>
      </c>
    </row>
    <row r="11" spans="1:13" ht="16.5" x14ac:dyDescent="0.3">
      <c r="B11" s="64" t="s">
        <v>40</v>
      </c>
      <c r="C11" s="66">
        <v>46169</v>
      </c>
      <c r="D11" s="67"/>
      <c r="E11" s="67" t="s">
        <v>89</v>
      </c>
      <c r="F11" s="67" t="s">
        <v>87</v>
      </c>
      <c r="G11" s="68">
        <f>SUMIFS(Product!$D$5:$D$24,Product!$C$5:$C$24,Venta!F20)</f>
        <v>130</v>
      </c>
      <c r="H11" s="92">
        <v>1</v>
      </c>
      <c r="I11" s="69">
        <f t="shared" si="0"/>
        <v>130</v>
      </c>
      <c r="J11" s="114" t="s">
        <v>83</v>
      </c>
      <c r="L11" s="78" t="s">
        <v>178</v>
      </c>
    </row>
    <row r="12" spans="1:13" ht="16.5" x14ac:dyDescent="0.3">
      <c r="B12" s="65" t="s">
        <v>40</v>
      </c>
      <c r="C12" s="66">
        <v>46169</v>
      </c>
      <c r="D12" s="67" t="s">
        <v>58</v>
      </c>
      <c r="E12" s="67" t="s">
        <v>50</v>
      </c>
      <c r="F12" s="67" t="s">
        <v>79</v>
      </c>
      <c r="G12" s="68">
        <f>SUMIFS(Product!$D$5:$D$24,Product!$C$5:$C$24,Venta!F12)</f>
        <v>130</v>
      </c>
      <c r="H12" s="92">
        <v>1</v>
      </c>
      <c r="I12" s="69">
        <f t="shared" si="0"/>
        <v>130</v>
      </c>
      <c r="J12" s="114" t="s">
        <v>2</v>
      </c>
      <c r="K12" s="78"/>
      <c r="L12" s="15" t="s">
        <v>178</v>
      </c>
    </row>
    <row r="13" spans="1:13" ht="16.5" x14ac:dyDescent="0.3">
      <c r="B13" s="65" t="s">
        <v>40</v>
      </c>
      <c r="C13" s="66">
        <v>46169</v>
      </c>
      <c r="D13" s="67" t="s">
        <v>50</v>
      </c>
      <c r="E13" s="67" t="s">
        <v>50</v>
      </c>
      <c r="F13" s="67" t="s">
        <v>79</v>
      </c>
      <c r="G13" s="68">
        <f>SUMIFS(Product!$D$5:$D$24,Product!$C$5:$C$24,Venta!F14)</f>
        <v>130</v>
      </c>
      <c r="H13" s="92">
        <v>1</v>
      </c>
      <c r="I13" s="69">
        <f t="shared" si="0"/>
        <v>130</v>
      </c>
      <c r="J13" s="114" t="s">
        <v>2</v>
      </c>
      <c r="K13" s="78"/>
      <c r="L13" s="15" t="s">
        <v>178</v>
      </c>
    </row>
    <row r="14" spans="1:13" ht="17.25" thickBot="1" x14ac:dyDescent="0.35">
      <c r="B14" s="65" t="s">
        <v>40</v>
      </c>
      <c r="C14" s="66">
        <v>46169</v>
      </c>
      <c r="D14" s="67" t="s">
        <v>101</v>
      </c>
      <c r="E14" s="67" t="s">
        <v>50</v>
      </c>
      <c r="F14" s="67" t="s">
        <v>79</v>
      </c>
      <c r="G14" s="68">
        <f>SUMIFS(Product!$D$5:$D$24,Product!$C$5:$C$24,Venta!F16)</f>
        <v>130</v>
      </c>
      <c r="H14" s="92">
        <v>1</v>
      </c>
      <c r="I14" s="69">
        <f t="shared" si="0"/>
        <v>130</v>
      </c>
      <c r="J14" s="114" t="s">
        <v>2</v>
      </c>
      <c r="K14" s="78"/>
      <c r="L14" s="15" t="s">
        <v>178</v>
      </c>
    </row>
    <row r="15" spans="1:13" ht="16.5" x14ac:dyDescent="0.3">
      <c r="B15" s="64" t="s">
        <v>40</v>
      </c>
      <c r="C15" s="66">
        <v>46169</v>
      </c>
      <c r="D15" s="67" t="s">
        <v>102</v>
      </c>
      <c r="E15" s="67" t="s">
        <v>50</v>
      </c>
      <c r="F15" s="67" t="s">
        <v>79</v>
      </c>
      <c r="G15" s="68">
        <f>SUMIFS(Product!$D$5:$D$24,Product!$C$5:$C$24,Venta!F21)</f>
        <v>130</v>
      </c>
      <c r="H15" s="92">
        <v>1</v>
      </c>
      <c r="I15" s="69">
        <f t="shared" si="0"/>
        <v>130</v>
      </c>
      <c r="J15" s="114" t="s">
        <v>83</v>
      </c>
      <c r="K15" s="78"/>
      <c r="L15" s="15" t="s">
        <v>178</v>
      </c>
    </row>
    <row r="16" spans="1:13" ht="16.5" x14ac:dyDescent="0.3">
      <c r="B16" s="65" t="s">
        <v>40</v>
      </c>
      <c r="C16" s="66">
        <v>46169</v>
      </c>
      <c r="D16" s="67" t="s">
        <v>67</v>
      </c>
      <c r="E16" s="67" t="s">
        <v>50</v>
      </c>
      <c r="F16" s="67" t="s">
        <v>79</v>
      </c>
      <c r="G16" s="68">
        <f>SUMIFS(Product!$D$5:$D$24,Product!$C$5:$C$24,Venta!F22)</f>
        <v>130</v>
      </c>
      <c r="H16" s="92">
        <v>2</v>
      </c>
      <c r="I16" s="69">
        <f t="shared" si="0"/>
        <v>260</v>
      </c>
      <c r="J16" s="114" t="s">
        <v>83</v>
      </c>
      <c r="K16" s="78"/>
      <c r="L16" s="15" t="s">
        <v>178</v>
      </c>
    </row>
    <row r="17" spans="2:12" ht="16.5" x14ac:dyDescent="0.3">
      <c r="B17" s="65" t="s">
        <v>40</v>
      </c>
      <c r="C17" s="66">
        <v>46169</v>
      </c>
      <c r="D17" s="67" t="s">
        <v>84</v>
      </c>
      <c r="E17" s="67" t="s">
        <v>84</v>
      </c>
      <c r="F17" s="67" t="s">
        <v>80</v>
      </c>
      <c r="G17" s="68">
        <f>SUMIFS(Product!$D$5:$D$24,Product!$C$5:$C$24,Venta!F18)</f>
        <v>130</v>
      </c>
      <c r="H17" s="92">
        <v>1</v>
      </c>
      <c r="I17" s="69">
        <f t="shared" si="0"/>
        <v>130</v>
      </c>
      <c r="J17" s="114" t="s">
        <v>83</v>
      </c>
      <c r="L17" s="78" t="s">
        <v>178</v>
      </c>
    </row>
    <row r="18" spans="2:12" ht="17.25" thickBot="1" x14ac:dyDescent="0.35">
      <c r="B18" s="65" t="s">
        <v>40</v>
      </c>
      <c r="C18" s="66">
        <v>46169</v>
      </c>
      <c r="D18" s="67" t="s">
        <v>57</v>
      </c>
      <c r="E18" s="67" t="s">
        <v>50</v>
      </c>
      <c r="F18" s="67" t="s">
        <v>80</v>
      </c>
      <c r="G18" s="68">
        <f>SUMIFS(Product!$D$5:$D$24,Product!$C$5:$C$24,Venta!F10)</f>
        <v>130</v>
      </c>
      <c r="H18" s="92">
        <v>1</v>
      </c>
      <c r="I18" s="69">
        <f t="shared" si="0"/>
        <v>130</v>
      </c>
      <c r="J18" s="114" t="s">
        <v>83</v>
      </c>
      <c r="K18" s="78"/>
      <c r="L18" s="15" t="s">
        <v>178</v>
      </c>
    </row>
    <row r="19" spans="2:12" ht="16.5" x14ac:dyDescent="0.3">
      <c r="B19" s="64" t="s">
        <v>40</v>
      </c>
      <c r="C19" s="66">
        <v>46169</v>
      </c>
      <c r="D19" s="67" t="s">
        <v>60</v>
      </c>
      <c r="E19" s="67" t="s">
        <v>50</v>
      </c>
      <c r="F19" s="67" t="s">
        <v>80</v>
      </c>
      <c r="G19" s="68">
        <f>SUMIFS(Product!$D$5:$D$24,Product!$C$5:$C$24,Venta!F11)</f>
        <v>130</v>
      </c>
      <c r="H19" s="92">
        <v>1</v>
      </c>
      <c r="I19" s="69">
        <f t="shared" si="0"/>
        <v>130</v>
      </c>
      <c r="J19" s="114" t="s">
        <v>83</v>
      </c>
      <c r="K19" s="78"/>
      <c r="L19" s="15" t="s">
        <v>178</v>
      </c>
    </row>
    <row r="20" spans="2:12" ht="16.5" x14ac:dyDescent="0.3">
      <c r="B20" s="65" t="s">
        <v>40</v>
      </c>
      <c r="C20" s="66">
        <v>46169</v>
      </c>
      <c r="D20" s="67" t="s">
        <v>59</v>
      </c>
      <c r="E20" s="67" t="s">
        <v>50</v>
      </c>
      <c r="F20" s="67" t="s">
        <v>80</v>
      </c>
      <c r="G20" s="68">
        <f>SUMIFS(Product!$D$5:$D$24,Product!$C$5:$C$24,Venta!F13)</f>
        <v>130</v>
      </c>
      <c r="H20" s="92">
        <v>1</v>
      </c>
      <c r="I20" s="69">
        <f t="shared" si="0"/>
        <v>130</v>
      </c>
      <c r="J20" s="114" t="s">
        <v>2</v>
      </c>
      <c r="K20" s="78"/>
      <c r="L20" s="15" t="s">
        <v>178</v>
      </c>
    </row>
    <row r="21" spans="2:12" ht="15.75" customHeight="1" x14ac:dyDescent="0.3">
      <c r="B21" s="65" t="s">
        <v>40</v>
      </c>
      <c r="C21" s="66">
        <v>46169</v>
      </c>
      <c r="D21" s="67" t="s">
        <v>85</v>
      </c>
      <c r="E21" s="67" t="s">
        <v>55</v>
      </c>
      <c r="F21" s="67" t="s">
        <v>81</v>
      </c>
      <c r="G21" s="68">
        <f>SUMIFS(Product!$D$5:$D$24,Product!$C$5:$C$24,Venta!F17)</f>
        <v>130</v>
      </c>
      <c r="H21" s="92">
        <v>1</v>
      </c>
      <c r="I21" s="69">
        <f t="shared" si="0"/>
        <v>130</v>
      </c>
      <c r="J21" s="114" t="s">
        <v>83</v>
      </c>
      <c r="L21" s="78" t="s">
        <v>178</v>
      </c>
    </row>
    <row r="22" spans="2:12" ht="15.75" customHeight="1" thickBot="1" x14ac:dyDescent="0.35">
      <c r="B22" s="65" t="s">
        <v>40</v>
      </c>
      <c r="C22" s="66">
        <v>46169</v>
      </c>
      <c r="D22" s="67" t="s">
        <v>86</v>
      </c>
      <c r="E22" s="67" t="s">
        <v>50</v>
      </c>
      <c r="F22" s="67" t="s">
        <v>81</v>
      </c>
      <c r="G22" s="68">
        <f>SUMIFS(Product!$D$5:$D$24,Product!$C$5:$C$24,Venta!F19)</f>
        <v>130</v>
      </c>
      <c r="H22" s="92">
        <v>1</v>
      </c>
      <c r="I22" s="69">
        <f t="shared" si="0"/>
        <v>130</v>
      </c>
      <c r="J22" s="114" t="s">
        <v>2</v>
      </c>
      <c r="K22" s="78"/>
      <c r="L22" s="15" t="s">
        <v>178</v>
      </c>
    </row>
    <row r="23" spans="2:12" ht="15.75" customHeight="1" x14ac:dyDescent="0.3">
      <c r="B23" s="64" t="s">
        <v>40</v>
      </c>
      <c r="C23" s="66">
        <v>46170</v>
      </c>
      <c r="D23" s="67" t="s">
        <v>103</v>
      </c>
      <c r="E23" s="67" t="s">
        <v>50</v>
      </c>
      <c r="F23" s="67" t="s">
        <v>79</v>
      </c>
      <c r="G23" s="68">
        <f>SUMIFS(Product!$D$5:$D$24,Product!$C$5:$C$24,Venta!F23)</f>
        <v>130</v>
      </c>
      <c r="H23" s="92">
        <v>1</v>
      </c>
      <c r="I23" s="69">
        <f t="shared" si="0"/>
        <v>130</v>
      </c>
      <c r="J23" s="114" t="s">
        <v>83</v>
      </c>
      <c r="K23" s="78"/>
      <c r="L23" s="15" t="s">
        <v>178</v>
      </c>
    </row>
    <row r="24" spans="2:12" ht="15.75" customHeight="1" x14ac:dyDescent="0.3">
      <c r="B24" s="65" t="s">
        <v>40</v>
      </c>
      <c r="C24" s="66">
        <v>46170</v>
      </c>
      <c r="D24" s="67" t="s">
        <v>104</v>
      </c>
      <c r="E24" s="67" t="s">
        <v>50</v>
      </c>
      <c r="F24" s="67" t="s">
        <v>79</v>
      </c>
      <c r="G24" s="68">
        <f>SUMIFS(Product!$D$5:$D$24,Product!$C$5:$C$24,Venta!F24)</f>
        <v>130</v>
      </c>
      <c r="H24" s="92">
        <v>1</v>
      </c>
      <c r="I24" s="69">
        <f t="shared" si="0"/>
        <v>130</v>
      </c>
      <c r="J24" s="114" t="s">
        <v>83</v>
      </c>
      <c r="K24" s="78"/>
      <c r="L24" s="15" t="s">
        <v>178</v>
      </c>
    </row>
    <row r="25" spans="2:12" ht="15.75" customHeight="1" thickBot="1" x14ac:dyDescent="0.35">
      <c r="B25" s="65" t="s">
        <v>40</v>
      </c>
      <c r="C25" s="66">
        <v>46170</v>
      </c>
      <c r="D25" s="67" t="s">
        <v>106</v>
      </c>
      <c r="E25" s="67" t="s">
        <v>50</v>
      </c>
      <c r="F25" s="67" t="s">
        <v>79</v>
      </c>
      <c r="G25" s="68">
        <f>SUMIFS(Product!$D$5:$D$24,Product!$C$5:$C$24,Venta!F25)</f>
        <v>130</v>
      </c>
      <c r="H25" s="92">
        <v>1</v>
      </c>
      <c r="I25" s="69">
        <f t="shared" si="0"/>
        <v>130</v>
      </c>
      <c r="J25" s="114" t="s">
        <v>83</v>
      </c>
      <c r="K25" s="78"/>
      <c r="L25" s="15" t="s">
        <v>178</v>
      </c>
    </row>
    <row r="26" spans="2:12" ht="15.75" customHeight="1" x14ac:dyDescent="0.3">
      <c r="B26" s="64" t="s">
        <v>40</v>
      </c>
      <c r="C26" s="66">
        <v>46170</v>
      </c>
      <c r="D26" s="67" t="s">
        <v>72</v>
      </c>
      <c r="E26" s="67" t="s">
        <v>50</v>
      </c>
      <c r="F26" s="67" t="s">
        <v>79</v>
      </c>
      <c r="G26" s="68">
        <f>SUMIFS(Product!$D$5:$D$24,Product!$C$5:$C$24,Venta!F26)</f>
        <v>130</v>
      </c>
      <c r="H26" s="92">
        <v>1</v>
      </c>
      <c r="I26" s="69">
        <f t="shared" si="0"/>
        <v>130</v>
      </c>
      <c r="J26" s="114" t="s">
        <v>2</v>
      </c>
      <c r="K26" s="78"/>
      <c r="L26" s="15" t="s">
        <v>178</v>
      </c>
    </row>
    <row r="27" spans="2:12" ht="15.75" customHeight="1" thickBot="1" x14ac:dyDescent="0.35">
      <c r="B27" s="65" t="s">
        <v>40</v>
      </c>
      <c r="C27" s="66">
        <v>46170</v>
      </c>
      <c r="D27" s="67" t="s">
        <v>108</v>
      </c>
      <c r="E27" s="67" t="s">
        <v>50</v>
      </c>
      <c r="F27" s="67" t="s">
        <v>79</v>
      </c>
      <c r="G27" s="68">
        <f>SUMIFS(Product!$D$5:$D$24,Product!$C$5:$C$24,Venta!F26)</f>
        <v>130</v>
      </c>
      <c r="H27" s="92">
        <v>2</v>
      </c>
      <c r="I27" s="69">
        <f t="shared" si="0"/>
        <v>260</v>
      </c>
      <c r="J27" s="114" t="s">
        <v>2</v>
      </c>
      <c r="K27" s="78"/>
      <c r="L27" s="15" t="s">
        <v>178</v>
      </c>
    </row>
    <row r="28" spans="2:12" ht="15.75" customHeight="1" x14ac:dyDescent="0.3">
      <c r="B28" s="64" t="s">
        <v>40</v>
      </c>
      <c r="C28" s="66">
        <v>46170</v>
      </c>
      <c r="D28" s="67" t="s">
        <v>110</v>
      </c>
      <c r="E28" s="67" t="s">
        <v>51</v>
      </c>
      <c r="F28" s="67" t="s">
        <v>81</v>
      </c>
      <c r="G28" s="68">
        <f>SUMIFS(Product!$D$5:$D$24,Product!$C$5:$C$24,Venta!F29)</f>
        <v>130</v>
      </c>
      <c r="H28" s="92">
        <v>5</v>
      </c>
      <c r="I28" s="69">
        <f t="shared" si="0"/>
        <v>650</v>
      </c>
      <c r="J28" s="114" t="s">
        <v>83</v>
      </c>
      <c r="L28" s="78" t="s">
        <v>178</v>
      </c>
    </row>
    <row r="29" spans="2:12" ht="15.75" customHeight="1" thickBot="1" x14ac:dyDescent="0.35">
      <c r="B29" s="65" t="s">
        <v>40</v>
      </c>
      <c r="C29" s="66">
        <v>46170</v>
      </c>
      <c r="D29" s="67" t="s">
        <v>110</v>
      </c>
      <c r="E29" s="67" t="s">
        <v>51</v>
      </c>
      <c r="F29" s="67" t="s">
        <v>80</v>
      </c>
      <c r="G29" s="68">
        <f>SUMIFS(Product!$D$5:$D$24,Product!$C$5:$C$24,Venta!F30)</f>
        <v>130</v>
      </c>
      <c r="H29" s="92">
        <v>6</v>
      </c>
      <c r="I29" s="69">
        <f t="shared" si="0"/>
        <v>780</v>
      </c>
      <c r="J29" s="114" t="s">
        <v>2</v>
      </c>
      <c r="L29" s="78" t="s">
        <v>178</v>
      </c>
    </row>
    <row r="30" spans="2:12" ht="15.75" customHeight="1" x14ac:dyDescent="0.3">
      <c r="B30" s="64" t="s">
        <v>40</v>
      </c>
      <c r="C30" s="66">
        <v>46170</v>
      </c>
      <c r="D30" s="67" t="s">
        <v>110</v>
      </c>
      <c r="E30" s="67" t="s">
        <v>51</v>
      </c>
      <c r="F30" s="67" t="s">
        <v>79</v>
      </c>
      <c r="G30" s="68">
        <f>SUMIFS(Product!$D$5:$D$24,Product!$C$5:$C$24,Venta!F31)</f>
        <v>130</v>
      </c>
      <c r="H30" s="92">
        <v>6</v>
      </c>
      <c r="I30" s="69">
        <f t="shared" si="0"/>
        <v>780</v>
      </c>
      <c r="J30" s="114" t="s">
        <v>2</v>
      </c>
      <c r="L30" s="78" t="s">
        <v>178</v>
      </c>
    </row>
    <row r="31" spans="2:12" ht="15.75" customHeight="1" thickBot="1" x14ac:dyDescent="0.35">
      <c r="B31" s="65" t="s">
        <v>40</v>
      </c>
      <c r="C31" s="66">
        <v>46170</v>
      </c>
      <c r="D31" s="67" t="s">
        <v>67</v>
      </c>
      <c r="E31" s="67" t="s">
        <v>50</v>
      </c>
      <c r="F31" s="67" t="s">
        <v>80</v>
      </c>
      <c r="G31" s="68">
        <f>SUMIFS(Product!$D$5:$D$24,Product!$C$5:$C$24,Venta!F28)</f>
        <v>130</v>
      </c>
      <c r="H31" s="92">
        <v>1</v>
      </c>
      <c r="I31" s="69">
        <f t="shared" si="0"/>
        <v>130</v>
      </c>
      <c r="J31" s="114" t="s">
        <v>2</v>
      </c>
      <c r="K31" s="78"/>
      <c r="L31" s="15" t="s">
        <v>178</v>
      </c>
    </row>
    <row r="32" spans="2:12" ht="15.75" customHeight="1" x14ac:dyDescent="0.3">
      <c r="B32" s="64" t="s">
        <v>40</v>
      </c>
      <c r="C32" s="66">
        <v>46170</v>
      </c>
      <c r="D32" s="67" t="s">
        <v>105</v>
      </c>
      <c r="E32" s="67" t="s">
        <v>52</v>
      </c>
      <c r="F32" s="67" t="s">
        <v>79</v>
      </c>
      <c r="G32" s="68">
        <f>SUMIFS(Product!$D$5:$D$24,Product!$C$5:$C$24,Venta!F33)</f>
        <v>130</v>
      </c>
      <c r="H32" s="92">
        <v>1</v>
      </c>
      <c r="I32" s="69">
        <f t="shared" si="0"/>
        <v>130</v>
      </c>
      <c r="J32" s="114" t="s">
        <v>2</v>
      </c>
      <c r="L32" s="78" t="s">
        <v>178</v>
      </c>
    </row>
    <row r="33" spans="2:12" ht="15.75" customHeight="1" x14ac:dyDescent="0.3">
      <c r="B33" s="65" t="s">
        <v>40</v>
      </c>
      <c r="C33" s="66">
        <v>46170</v>
      </c>
      <c r="D33" s="67" t="s">
        <v>67</v>
      </c>
      <c r="E33" s="67" t="s">
        <v>50</v>
      </c>
      <c r="F33" s="67" t="s">
        <v>81</v>
      </c>
      <c r="G33" s="68">
        <f>SUMIFS(Product!$D$5:$D$24,Product!$C$5:$C$24,Venta!F27)</f>
        <v>130</v>
      </c>
      <c r="H33" s="92">
        <v>2</v>
      </c>
      <c r="I33" s="69">
        <f t="shared" si="0"/>
        <v>260</v>
      </c>
      <c r="J33" s="114" t="s">
        <v>2</v>
      </c>
      <c r="K33" s="78"/>
      <c r="L33" s="15" t="s">
        <v>178</v>
      </c>
    </row>
    <row r="34" spans="2:12" ht="15.75" customHeight="1" x14ac:dyDescent="0.3">
      <c r="B34" s="70" t="s">
        <v>40</v>
      </c>
      <c r="C34" s="66">
        <v>46171</v>
      </c>
      <c r="D34" s="67" t="s">
        <v>107</v>
      </c>
      <c r="E34" s="67" t="s">
        <v>50</v>
      </c>
      <c r="F34" s="67" t="s">
        <v>79</v>
      </c>
      <c r="G34" s="68">
        <f>SUMIFS(Product!$D$5:$D$24,Product!$C$5:$C$24,Venta!F34)</f>
        <v>130</v>
      </c>
      <c r="H34" s="92">
        <v>1</v>
      </c>
      <c r="I34" s="69">
        <f t="shared" si="0"/>
        <v>130</v>
      </c>
      <c r="J34" s="114" t="s">
        <v>2</v>
      </c>
      <c r="K34" s="78"/>
      <c r="L34" s="15" t="s">
        <v>178</v>
      </c>
    </row>
    <row r="35" spans="2:12" ht="15.75" customHeight="1" x14ac:dyDescent="0.3">
      <c r="B35" s="70" t="s">
        <v>40</v>
      </c>
      <c r="C35" s="66">
        <v>46171</v>
      </c>
      <c r="D35" s="67" t="s">
        <v>110</v>
      </c>
      <c r="E35" s="67" t="s">
        <v>54</v>
      </c>
      <c r="F35" s="67" t="s">
        <v>80</v>
      </c>
      <c r="G35" s="68">
        <f>SUMIFS(Product!$D$5:$D$24,Product!$C$5:$C$24,Venta!F37)</f>
        <v>130</v>
      </c>
      <c r="H35" s="92">
        <v>1</v>
      </c>
      <c r="I35" s="69">
        <f t="shared" si="0"/>
        <v>130</v>
      </c>
      <c r="J35" s="114" t="s">
        <v>2</v>
      </c>
      <c r="L35" s="78" t="s">
        <v>178</v>
      </c>
    </row>
    <row r="36" spans="2:12" ht="15.75" customHeight="1" x14ac:dyDescent="0.3">
      <c r="B36" s="70" t="s">
        <v>40</v>
      </c>
      <c r="C36" s="66">
        <v>46171</v>
      </c>
      <c r="D36" s="67" t="s">
        <v>75</v>
      </c>
      <c r="E36" s="67" t="s">
        <v>52</v>
      </c>
      <c r="F36" s="67" t="s">
        <v>79</v>
      </c>
      <c r="G36" s="68">
        <f>SUMIFS(Product!$D$5:$D$24,Product!$C$5:$C$24,Venta!F35)</f>
        <v>130</v>
      </c>
      <c r="H36" s="92">
        <v>1</v>
      </c>
      <c r="I36" s="69">
        <f t="shared" si="0"/>
        <v>130</v>
      </c>
      <c r="J36" s="114" t="s">
        <v>2</v>
      </c>
      <c r="L36" s="78" t="s">
        <v>178</v>
      </c>
    </row>
    <row r="37" spans="2:12" ht="15.75" customHeight="1" x14ac:dyDescent="0.3">
      <c r="B37" s="70" t="s">
        <v>40</v>
      </c>
      <c r="C37" s="66">
        <v>46171</v>
      </c>
      <c r="D37" s="67" t="s">
        <v>76</v>
      </c>
      <c r="E37" s="67" t="s">
        <v>52</v>
      </c>
      <c r="F37" s="67" t="s">
        <v>79</v>
      </c>
      <c r="G37" s="68">
        <f>SUMIFS(Product!$D$5:$D$24,Product!$C$5:$C$24,Venta!F36)</f>
        <v>130</v>
      </c>
      <c r="H37" s="92">
        <v>1</v>
      </c>
      <c r="I37" s="69">
        <f t="shared" si="0"/>
        <v>130</v>
      </c>
      <c r="J37" s="114" t="s">
        <v>2</v>
      </c>
      <c r="L37" s="78" t="s">
        <v>178</v>
      </c>
    </row>
    <row r="38" spans="2:12" ht="15.75" customHeight="1" x14ac:dyDescent="0.3">
      <c r="B38" s="65" t="s">
        <v>40</v>
      </c>
      <c r="C38" s="66">
        <v>46172</v>
      </c>
      <c r="D38" s="67" t="s">
        <v>53</v>
      </c>
      <c r="E38" s="67" t="s">
        <v>53</v>
      </c>
      <c r="F38" s="67" t="s">
        <v>79</v>
      </c>
      <c r="G38" s="68">
        <f>SUMIFS(Product!$D$5:$D$24,Product!$C$5:$C$24,Venta!F38)</f>
        <v>130</v>
      </c>
      <c r="H38" s="92">
        <v>5</v>
      </c>
      <c r="I38" s="69">
        <f t="shared" si="0"/>
        <v>650</v>
      </c>
      <c r="J38" s="114" t="s">
        <v>2</v>
      </c>
      <c r="L38" s="78" t="s">
        <v>178</v>
      </c>
    </row>
    <row r="39" spans="2:12" ht="15.75" customHeight="1" x14ac:dyDescent="0.3">
      <c r="B39" s="65" t="s">
        <v>40</v>
      </c>
      <c r="C39" s="66">
        <v>46172</v>
      </c>
      <c r="D39" s="67" t="s">
        <v>77</v>
      </c>
      <c r="E39" s="67" t="s">
        <v>52</v>
      </c>
      <c r="F39" s="67" t="s">
        <v>87</v>
      </c>
      <c r="G39" s="68">
        <f>SUMIFS(Product!$D$5:$D$24,Product!$C$5:$C$24,Venta!F39)</f>
        <v>130</v>
      </c>
      <c r="H39" s="93">
        <v>1</v>
      </c>
      <c r="I39" s="69">
        <f t="shared" si="0"/>
        <v>130</v>
      </c>
      <c r="J39" s="114" t="s">
        <v>2</v>
      </c>
      <c r="L39" s="78" t="s">
        <v>178</v>
      </c>
    </row>
    <row r="40" spans="2:12" s="15" customFormat="1" ht="15.75" customHeight="1" x14ac:dyDescent="0.3">
      <c r="B40" s="71" t="s">
        <v>41</v>
      </c>
      <c r="C40" s="58">
        <v>46175</v>
      </c>
      <c r="D40" s="59" t="s">
        <v>110</v>
      </c>
      <c r="E40" s="59" t="s">
        <v>112</v>
      </c>
      <c r="F40" s="59" t="s">
        <v>79</v>
      </c>
      <c r="G40" s="60">
        <f>SUMIFS(Product!$D$5:$D$24,Product!$C$5:$C$24,Venta!F41)</f>
        <v>130</v>
      </c>
      <c r="H40" s="74">
        <v>1</v>
      </c>
      <c r="I40" s="61">
        <f t="shared" si="0"/>
        <v>130</v>
      </c>
      <c r="J40" s="115" t="s">
        <v>2</v>
      </c>
      <c r="K40" s="149"/>
      <c r="L40" s="78" t="s">
        <v>178</v>
      </c>
    </row>
    <row r="41" spans="2:12" ht="15.75" customHeight="1" x14ac:dyDescent="0.3">
      <c r="B41" s="71" t="s">
        <v>41</v>
      </c>
      <c r="C41" s="58">
        <v>46176</v>
      </c>
      <c r="D41" s="59" t="s">
        <v>110</v>
      </c>
      <c r="E41" s="59" t="s">
        <v>52</v>
      </c>
      <c r="F41" s="59" t="s">
        <v>79</v>
      </c>
      <c r="G41" s="60">
        <f>SUMIFS(Product!$D$5:$D$24,Product!$C$5:$C$24,Venta!F65)</f>
        <v>130</v>
      </c>
      <c r="H41" s="74">
        <v>1</v>
      </c>
      <c r="I41" s="61">
        <f t="shared" si="0"/>
        <v>130</v>
      </c>
      <c r="J41" s="115" t="s">
        <v>83</v>
      </c>
      <c r="L41" s="78" t="s">
        <v>178</v>
      </c>
    </row>
    <row r="42" spans="2:12" ht="15.75" customHeight="1" x14ac:dyDescent="0.3">
      <c r="B42" s="71" t="s">
        <v>41</v>
      </c>
      <c r="C42" s="58">
        <v>46175</v>
      </c>
      <c r="D42" s="59" t="s">
        <v>110</v>
      </c>
      <c r="E42" s="59" t="s">
        <v>112</v>
      </c>
      <c r="F42" s="59" t="s">
        <v>80</v>
      </c>
      <c r="G42" s="60">
        <f>SUMIFS(Product!$D$5:$D$24,Product!$C$5:$C$24,Venta!F44)</f>
        <v>130</v>
      </c>
      <c r="H42" s="74">
        <v>1</v>
      </c>
      <c r="I42" s="61">
        <f t="shared" si="0"/>
        <v>130</v>
      </c>
      <c r="J42" s="115" t="s">
        <v>83</v>
      </c>
      <c r="L42" s="78" t="s">
        <v>178</v>
      </c>
    </row>
    <row r="43" spans="2:12" ht="15.75" customHeight="1" x14ac:dyDescent="0.3">
      <c r="B43" s="71" t="s">
        <v>41</v>
      </c>
      <c r="C43" s="58">
        <v>46175</v>
      </c>
      <c r="D43" s="59" t="s">
        <v>110</v>
      </c>
      <c r="E43" s="59" t="s">
        <v>112</v>
      </c>
      <c r="F43" s="59" t="s">
        <v>113</v>
      </c>
      <c r="G43" s="60">
        <f>SUMIFS(Product!$D$5:$D$24,Product!$C$5:$C$24,Venta!F42)</f>
        <v>130</v>
      </c>
      <c r="H43" s="74">
        <v>2</v>
      </c>
      <c r="I43" s="61">
        <f t="shared" si="0"/>
        <v>260</v>
      </c>
      <c r="J43" s="115" t="s">
        <v>2</v>
      </c>
      <c r="L43" s="78" t="s">
        <v>178</v>
      </c>
    </row>
    <row r="44" spans="2:12" ht="15.75" customHeight="1" x14ac:dyDescent="0.3">
      <c r="B44" s="71" t="s">
        <v>41</v>
      </c>
      <c r="C44" s="58">
        <v>46175</v>
      </c>
      <c r="D44" s="59" t="s">
        <v>110</v>
      </c>
      <c r="E44" s="59" t="s">
        <v>50</v>
      </c>
      <c r="F44" s="59" t="s">
        <v>79</v>
      </c>
      <c r="G44" s="60">
        <f>SUMIFS(Product!$D$5:$D$24,Product!$C$5:$C$24,Venta!F45)</f>
        <v>130</v>
      </c>
      <c r="H44" s="74">
        <v>1</v>
      </c>
      <c r="I44" s="61">
        <f t="shared" si="0"/>
        <v>130</v>
      </c>
      <c r="J44" s="115" t="s">
        <v>2</v>
      </c>
      <c r="K44" s="78"/>
      <c r="L44" s="15" t="s">
        <v>178</v>
      </c>
    </row>
    <row r="45" spans="2:12" ht="15.75" customHeight="1" x14ac:dyDescent="0.3">
      <c r="B45" s="71" t="s">
        <v>41</v>
      </c>
      <c r="C45" s="58">
        <v>46175</v>
      </c>
      <c r="D45" s="59" t="s">
        <v>110</v>
      </c>
      <c r="E45" s="59" t="s">
        <v>52</v>
      </c>
      <c r="F45" s="59" t="s">
        <v>80</v>
      </c>
      <c r="G45" s="60">
        <f>SUMIFS(Product!$D$5:$D$24,Product!$C$5:$C$24,Venta!F47)</f>
        <v>130</v>
      </c>
      <c r="H45" s="74">
        <v>1</v>
      </c>
      <c r="I45" s="61">
        <f t="shared" si="0"/>
        <v>130</v>
      </c>
      <c r="J45" s="115" t="s">
        <v>2</v>
      </c>
      <c r="L45" s="78" t="s">
        <v>178</v>
      </c>
    </row>
    <row r="46" spans="2:12" ht="15.75" customHeight="1" x14ac:dyDescent="0.3">
      <c r="B46" s="71" t="s">
        <v>41</v>
      </c>
      <c r="C46" s="58">
        <v>46175</v>
      </c>
      <c r="D46" s="59" t="s">
        <v>110</v>
      </c>
      <c r="E46" s="59" t="s">
        <v>52</v>
      </c>
      <c r="F46" s="59" t="s">
        <v>80</v>
      </c>
      <c r="G46" s="60">
        <f>SUMIFS(Product!$D$5:$D$24,Product!$C$5:$C$24,Venta!F49)</f>
        <v>130</v>
      </c>
      <c r="H46" s="74">
        <v>1</v>
      </c>
      <c r="I46" s="61">
        <f t="shared" si="0"/>
        <v>130</v>
      </c>
      <c r="J46" s="115" t="s">
        <v>2</v>
      </c>
      <c r="L46" s="78" t="s">
        <v>178</v>
      </c>
    </row>
    <row r="47" spans="2:12" ht="15.75" customHeight="1" x14ac:dyDescent="0.3">
      <c r="B47" s="71" t="s">
        <v>41</v>
      </c>
      <c r="C47" s="58">
        <v>46176</v>
      </c>
      <c r="D47" s="59" t="s">
        <v>110</v>
      </c>
      <c r="E47" s="59" t="s">
        <v>52</v>
      </c>
      <c r="F47" s="59" t="s">
        <v>80</v>
      </c>
      <c r="G47" s="60">
        <f>SUMIFS(Product!$D$5:$D$24,Product!$C$5:$C$24,Venta!F54)</f>
        <v>130</v>
      </c>
      <c r="H47" s="74">
        <v>2</v>
      </c>
      <c r="I47" s="61">
        <f t="shared" si="0"/>
        <v>260</v>
      </c>
      <c r="J47" s="115" t="s">
        <v>83</v>
      </c>
      <c r="L47" s="78" t="s">
        <v>178</v>
      </c>
    </row>
    <row r="48" spans="2:12" ht="15.75" customHeight="1" x14ac:dyDescent="0.3">
      <c r="B48" s="71" t="s">
        <v>41</v>
      </c>
      <c r="C48" s="58">
        <v>46176</v>
      </c>
      <c r="D48" s="59" t="s">
        <v>110</v>
      </c>
      <c r="E48" s="59" t="s">
        <v>52</v>
      </c>
      <c r="F48" s="59" t="s">
        <v>80</v>
      </c>
      <c r="G48" s="60">
        <f>SUMIFS(Product!$D$5:$D$24,Product!$C$5:$C$24,Venta!F53)</f>
        <v>130</v>
      </c>
      <c r="H48" s="74">
        <v>1</v>
      </c>
      <c r="I48" s="61">
        <f t="shared" si="0"/>
        <v>130</v>
      </c>
      <c r="J48" s="115" t="s">
        <v>2</v>
      </c>
      <c r="L48" s="78" t="s">
        <v>178</v>
      </c>
    </row>
    <row r="49" spans="2:12" ht="15.75" customHeight="1" x14ac:dyDescent="0.3">
      <c r="B49" s="71" t="s">
        <v>41</v>
      </c>
      <c r="C49" s="58">
        <v>46175</v>
      </c>
      <c r="D49" s="59" t="s">
        <v>110</v>
      </c>
      <c r="E49" s="59" t="s">
        <v>112</v>
      </c>
      <c r="F49" s="59" t="s">
        <v>87</v>
      </c>
      <c r="G49" s="60">
        <f>SUMIFS(Product!$D$5:$D$24,Product!$C$5:$C$24,Venta!F43)</f>
        <v>130</v>
      </c>
      <c r="H49" s="74">
        <v>1</v>
      </c>
      <c r="I49" s="61">
        <f t="shared" si="0"/>
        <v>130</v>
      </c>
      <c r="J49" s="115" t="s">
        <v>83</v>
      </c>
      <c r="L49" s="78" t="s">
        <v>178</v>
      </c>
    </row>
    <row r="50" spans="2:12" ht="15.75" customHeight="1" x14ac:dyDescent="0.3">
      <c r="B50" s="71" t="s">
        <v>41</v>
      </c>
      <c r="C50" s="58">
        <v>46175</v>
      </c>
      <c r="D50" s="59" t="s">
        <v>110</v>
      </c>
      <c r="E50" s="59" t="s">
        <v>112</v>
      </c>
      <c r="F50" s="59" t="s">
        <v>81</v>
      </c>
      <c r="G50" s="60">
        <f>SUMIFS(Product!$D$5:$D$24,Product!$C$5:$C$24,Venta!F50)</f>
        <v>130</v>
      </c>
      <c r="H50" s="74">
        <v>1</v>
      </c>
      <c r="I50" s="61">
        <f t="shared" si="0"/>
        <v>130</v>
      </c>
      <c r="J50" s="115" t="s">
        <v>2</v>
      </c>
      <c r="L50" s="78" t="s">
        <v>178</v>
      </c>
    </row>
    <row r="51" spans="2:12" ht="15.75" customHeight="1" x14ac:dyDescent="0.3">
      <c r="B51" s="71" t="s">
        <v>41</v>
      </c>
      <c r="C51" s="58">
        <v>46176</v>
      </c>
      <c r="D51" s="59" t="s">
        <v>110</v>
      </c>
      <c r="E51" s="59" t="s">
        <v>54</v>
      </c>
      <c r="F51" s="59" t="s">
        <v>79</v>
      </c>
      <c r="G51" s="60">
        <f>SUMIFS(Product!$D$5:$D$24,Product!$C$5:$C$24,Venta!F52)</f>
        <v>130</v>
      </c>
      <c r="H51" s="74">
        <v>2</v>
      </c>
      <c r="I51" s="61">
        <f t="shared" si="0"/>
        <v>260</v>
      </c>
      <c r="J51" s="115" t="s">
        <v>2</v>
      </c>
      <c r="L51" s="78" t="s">
        <v>178</v>
      </c>
    </row>
    <row r="52" spans="2:12" ht="15.75" customHeight="1" x14ac:dyDescent="0.3">
      <c r="B52" s="71" t="s">
        <v>41</v>
      </c>
      <c r="C52" s="58">
        <v>46176</v>
      </c>
      <c r="D52" s="59" t="s">
        <v>110</v>
      </c>
      <c r="E52" s="59" t="s">
        <v>54</v>
      </c>
      <c r="F52" s="59" t="s">
        <v>113</v>
      </c>
      <c r="G52" s="60">
        <f>SUMIFS(Product!$D$5:$D$24,Product!$C$5:$C$24,Venta!F51)</f>
        <v>130</v>
      </c>
      <c r="H52" s="74">
        <v>2</v>
      </c>
      <c r="I52" s="61">
        <f t="shared" si="0"/>
        <v>260</v>
      </c>
      <c r="J52" s="115" t="s">
        <v>2</v>
      </c>
      <c r="L52" s="78" t="s">
        <v>178</v>
      </c>
    </row>
    <row r="53" spans="2:12" ht="15.75" customHeight="1" x14ac:dyDescent="0.3">
      <c r="B53" s="71" t="s">
        <v>41</v>
      </c>
      <c r="C53" s="58">
        <v>46175</v>
      </c>
      <c r="D53" s="59" t="s">
        <v>110</v>
      </c>
      <c r="E53" s="59" t="s">
        <v>52</v>
      </c>
      <c r="F53" s="59" t="s">
        <v>81</v>
      </c>
      <c r="G53" s="60">
        <f>SUMIFS(Product!$D$5:$D$24,Product!$C$5:$C$24,Venta!F46)</f>
        <v>130</v>
      </c>
      <c r="H53" s="74">
        <v>1</v>
      </c>
      <c r="I53" s="61">
        <f t="shared" si="0"/>
        <v>130</v>
      </c>
      <c r="J53" s="115" t="s">
        <v>2</v>
      </c>
      <c r="L53" s="78" t="s">
        <v>178</v>
      </c>
    </row>
    <row r="54" spans="2:12" ht="15.75" customHeight="1" x14ac:dyDescent="0.3">
      <c r="B54" s="71" t="s">
        <v>41</v>
      </c>
      <c r="C54" s="58">
        <v>46176</v>
      </c>
      <c r="D54" s="59" t="s">
        <v>110</v>
      </c>
      <c r="E54" s="59" t="s">
        <v>54</v>
      </c>
      <c r="F54" s="59" t="s">
        <v>81</v>
      </c>
      <c r="G54" s="60">
        <f>SUMIFS(Product!$D$5:$D$24,Product!$C$5:$C$24,Venta!F50)</f>
        <v>130</v>
      </c>
      <c r="H54" s="74">
        <v>1</v>
      </c>
      <c r="I54" s="61">
        <f t="shared" si="0"/>
        <v>130</v>
      </c>
      <c r="J54" s="115" t="s">
        <v>2</v>
      </c>
      <c r="L54" s="78" t="s">
        <v>178</v>
      </c>
    </row>
    <row r="55" spans="2:12" ht="15.75" customHeight="1" x14ac:dyDescent="0.3">
      <c r="B55" s="71" t="s">
        <v>41</v>
      </c>
      <c r="C55" s="58">
        <v>46175</v>
      </c>
      <c r="D55" s="59" t="s">
        <v>110</v>
      </c>
      <c r="E55" s="59" t="s">
        <v>52</v>
      </c>
      <c r="F55" s="59" t="s">
        <v>87</v>
      </c>
      <c r="G55" s="60">
        <f>SUMIFS(Product!$D$5:$D$24,Product!$C$5:$C$24,Venta!F48)</f>
        <v>130</v>
      </c>
      <c r="H55" s="74">
        <v>1</v>
      </c>
      <c r="I55" s="61">
        <f t="shared" si="0"/>
        <v>130</v>
      </c>
      <c r="J55" s="115" t="s">
        <v>2</v>
      </c>
      <c r="L55" s="78" t="s">
        <v>178</v>
      </c>
    </row>
    <row r="56" spans="2:12" ht="15.75" customHeight="1" x14ac:dyDescent="0.3">
      <c r="B56" s="71" t="s">
        <v>41</v>
      </c>
      <c r="C56" s="58">
        <v>46176</v>
      </c>
      <c r="D56" s="59" t="s">
        <v>110</v>
      </c>
      <c r="E56" s="59" t="s">
        <v>52</v>
      </c>
      <c r="F56" s="59" t="s">
        <v>81</v>
      </c>
      <c r="G56" s="60">
        <f>SUMIFS(Product!$D$5:$D$24,Product!$C$5:$C$24,Venta!F66)</f>
        <v>130</v>
      </c>
      <c r="H56" s="74">
        <v>1</v>
      </c>
      <c r="I56" s="61">
        <f t="shared" si="0"/>
        <v>130</v>
      </c>
      <c r="J56" s="115" t="s">
        <v>83</v>
      </c>
      <c r="L56" s="78" t="s">
        <v>178</v>
      </c>
    </row>
    <row r="57" spans="2:12" ht="15.75" customHeight="1" x14ac:dyDescent="0.3">
      <c r="B57" s="71" t="s">
        <v>41</v>
      </c>
      <c r="C57" s="58">
        <v>46177</v>
      </c>
      <c r="D57" s="59" t="s">
        <v>110</v>
      </c>
      <c r="E57" s="59" t="s">
        <v>84</v>
      </c>
      <c r="F57" s="59" t="s">
        <v>79</v>
      </c>
      <c r="G57" s="60">
        <f>SUMIFS(Product!$D$5:$D$24,Product!$C$5:$C$24,Venta!F56)</f>
        <v>130</v>
      </c>
      <c r="H57" s="74">
        <v>2</v>
      </c>
      <c r="I57" s="61">
        <f t="shared" si="0"/>
        <v>260</v>
      </c>
      <c r="J57" s="115" t="s">
        <v>2</v>
      </c>
      <c r="L57" s="78" t="s">
        <v>178</v>
      </c>
    </row>
    <row r="58" spans="2:12" ht="15.75" customHeight="1" x14ac:dyDescent="0.3">
      <c r="B58" s="71" t="s">
        <v>41</v>
      </c>
      <c r="C58" s="58">
        <v>46177</v>
      </c>
      <c r="D58" s="59" t="s">
        <v>110</v>
      </c>
      <c r="E58" s="59" t="s">
        <v>84</v>
      </c>
      <c r="F58" s="59" t="s">
        <v>79</v>
      </c>
      <c r="G58" s="60">
        <f>SUMIFS(Product!$D$5:$D$24,Product!$C$5:$C$24,Venta!F62)</f>
        <v>130</v>
      </c>
      <c r="H58" s="74">
        <v>1</v>
      </c>
      <c r="I58" s="61">
        <f t="shared" si="0"/>
        <v>130</v>
      </c>
      <c r="J58" s="115" t="s">
        <v>2</v>
      </c>
      <c r="L58" s="78" t="s">
        <v>178</v>
      </c>
    </row>
    <row r="59" spans="2:12" ht="15.75" customHeight="1" x14ac:dyDescent="0.3">
      <c r="B59" s="71" t="s">
        <v>41</v>
      </c>
      <c r="C59" s="58">
        <v>46177</v>
      </c>
      <c r="D59" s="59" t="s">
        <v>110</v>
      </c>
      <c r="E59" s="59" t="s">
        <v>84</v>
      </c>
      <c r="F59" s="59" t="s">
        <v>80</v>
      </c>
      <c r="G59" s="60">
        <f>SUMIFS(Product!$D$5:$D$24,Product!$C$5:$C$24,Venta!F57)</f>
        <v>130</v>
      </c>
      <c r="H59" s="74">
        <v>2</v>
      </c>
      <c r="I59" s="61">
        <f t="shared" si="0"/>
        <v>260</v>
      </c>
      <c r="J59" s="115" t="s">
        <v>2</v>
      </c>
      <c r="L59" s="78" t="s">
        <v>178</v>
      </c>
    </row>
    <row r="60" spans="2:12" ht="15.75" customHeight="1" x14ac:dyDescent="0.3">
      <c r="B60" s="71" t="s">
        <v>41</v>
      </c>
      <c r="C60" s="58">
        <v>46177</v>
      </c>
      <c r="D60" s="59" t="s">
        <v>110</v>
      </c>
      <c r="E60" s="59" t="s">
        <v>89</v>
      </c>
      <c r="F60" s="59" t="s">
        <v>79</v>
      </c>
      <c r="G60" s="60">
        <f>SUMIFS(Product!$D$5:$D$24,Product!$C$5:$C$24,Venta!F59)</f>
        <v>130</v>
      </c>
      <c r="H60" s="74">
        <v>2</v>
      </c>
      <c r="I60" s="61">
        <f t="shared" si="0"/>
        <v>260</v>
      </c>
      <c r="J60" s="115" t="s">
        <v>83</v>
      </c>
      <c r="L60" s="78" t="s">
        <v>178</v>
      </c>
    </row>
    <row r="61" spans="2:12" ht="15.75" customHeight="1" x14ac:dyDescent="0.3">
      <c r="B61" s="71" t="s">
        <v>41</v>
      </c>
      <c r="C61" s="58">
        <v>46177</v>
      </c>
      <c r="D61" s="59" t="s">
        <v>110</v>
      </c>
      <c r="E61" s="59" t="s">
        <v>89</v>
      </c>
      <c r="F61" s="59" t="s">
        <v>80</v>
      </c>
      <c r="G61" s="60">
        <f>SUMIFS(Product!$D$5:$D$24,Product!$C$5:$C$24,Venta!F60)</f>
        <v>130</v>
      </c>
      <c r="H61" s="74">
        <v>3</v>
      </c>
      <c r="I61" s="61">
        <f t="shared" si="0"/>
        <v>390</v>
      </c>
      <c r="J61" s="115" t="s">
        <v>83</v>
      </c>
      <c r="L61" s="78" t="s">
        <v>178</v>
      </c>
    </row>
    <row r="62" spans="2:12" ht="15.75" customHeight="1" x14ac:dyDescent="0.3">
      <c r="B62" s="71" t="s">
        <v>41</v>
      </c>
      <c r="C62" s="58">
        <v>46177</v>
      </c>
      <c r="D62" s="59" t="s">
        <v>110</v>
      </c>
      <c r="E62" s="59" t="s">
        <v>89</v>
      </c>
      <c r="F62" s="59" t="s">
        <v>81</v>
      </c>
      <c r="G62" s="60">
        <f>SUMIFS(Product!$D$5:$D$24,Product!$C$5:$C$24,Venta!F61)</f>
        <v>130</v>
      </c>
      <c r="H62" s="74">
        <v>6</v>
      </c>
      <c r="I62" s="61">
        <f t="shared" si="0"/>
        <v>780</v>
      </c>
      <c r="J62" s="115" t="s">
        <v>83</v>
      </c>
      <c r="L62" s="78" t="s">
        <v>178</v>
      </c>
    </row>
    <row r="63" spans="2:12" ht="15.75" customHeight="1" x14ac:dyDescent="0.3">
      <c r="B63" s="71" t="s">
        <v>41</v>
      </c>
      <c r="C63" s="58">
        <v>46177</v>
      </c>
      <c r="D63" s="59" t="s">
        <v>110</v>
      </c>
      <c r="E63" s="59" t="s">
        <v>84</v>
      </c>
      <c r="F63" s="59" t="s">
        <v>87</v>
      </c>
      <c r="G63" s="60">
        <f>SUMIFS(Product!$D$5:$D$24,Product!$C$5:$C$24,Venta!F58)</f>
        <v>130</v>
      </c>
      <c r="H63" s="74">
        <v>1</v>
      </c>
      <c r="I63" s="61">
        <f t="shared" si="0"/>
        <v>130</v>
      </c>
      <c r="J63" s="115" t="s">
        <v>2</v>
      </c>
      <c r="L63" s="78" t="s">
        <v>178</v>
      </c>
    </row>
    <row r="64" spans="2:12" ht="15.75" customHeight="1" x14ac:dyDescent="0.3">
      <c r="B64" s="71" t="s">
        <v>41</v>
      </c>
      <c r="C64" s="58">
        <v>46177</v>
      </c>
      <c r="D64" s="59" t="s">
        <v>110</v>
      </c>
      <c r="E64" s="59" t="s">
        <v>52</v>
      </c>
      <c r="F64" s="59" t="s">
        <v>81</v>
      </c>
      <c r="G64" s="60">
        <f>SUMIFS(Product!$D$5:$D$24,Product!$C$5:$C$24,Venta!F55)</f>
        <v>130</v>
      </c>
      <c r="H64" s="74">
        <v>1</v>
      </c>
      <c r="I64" s="61">
        <f t="shared" si="0"/>
        <v>130</v>
      </c>
      <c r="J64" s="115" t="s">
        <v>2</v>
      </c>
      <c r="L64" s="78" t="s">
        <v>178</v>
      </c>
    </row>
    <row r="65" spans="2:12" ht="15.75" customHeight="1" x14ac:dyDescent="0.3">
      <c r="B65" s="71" t="s">
        <v>41</v>
      </c>
      <c r="C65" s="58">
        <v>46180</v>
      </c>
      <c r="D65" s="59" t="s">
        <v>110</v>
      </c>
      <c r="E65" s="59" t="s">
        <v>54</v>
      </c>
      <c r="F65" s="59" t="s">
        <v>113</v>
      </c>
      <c r="G65" s="60">
        <f>SUMIFS(Product!$D$5:$D$24,Product!$C$5:$C$24,Venta!F64)</f>
        <v>130</v>
      </c>
      <c r="H65" s="74">
        <v>1</v>
      </c>
      <c r="I65" s="61">
        <f t="shared" si="0"/>
        <v>130</v>
      </c>
      <c r="J65" s="115" t="s">
        <v>2</v>
      </c>
      <c r="L65" s="78" t="s">
        <v>178</v>
      </c>
    </row>
    <row r="66" spans="2:12" ht="15.75" customHeight="1" x14ac:dyDescent="0.3">
      <c r="B66" s="71" t="s">
        <v>41</v>
      </c>
      <c r="C66" s="58">
        <v>46180</v>
      </c>
      <c r="D66" s="59" t="s">
        <v>110</v>
      </c>
      <c r="E66" s="59" t="s">
        <v>54</v>
      </c>
      <c r="F66" s="59" t="s">
        <v>87</v>
      </c>
      <c r="G66" s="60">
        <f>SUMIFS(Product!$D$5:$D$24,Product!$C$5:$C$24,Venta!F63)</f>
        <v>130</v>
      </c>
      <c r="H66" s="74">
        <v>1</v>
      </c>
      <c r="I66" s="61">
        <f t="shared" si="0"/>
        <v>130</v>
      </c>
      <c r="J66" s="115" t="s">
        <v>2</v>
      </c>
      <c r="L66" s="78" t="s">
        <v>178</v>
      </c>
    </row>
    <row r="67" spans="2:12" s="109" customFormat="1" ht="15.75" customHeight="1" x14ac:dyDescent="0.3">
      <c r="B67" s="71" t="s">
        <v>41</v>
      </c>
      <c r="C67" s="58">
        <v>46180</v>
      </c>
      <c r="D67" s="59" t="s">
        <v>110</v>
      </c>
      <c r="E67" s="59" t="s">
        <v>50</v>
      </c>
      <c r="F67" s="59" t="s">
        <v>81</v>
      </c>
      <c r="G67" s="60">
        <f>SUMIFS(Product!$D$5:$D$24,Product!$C$5:$C$24,Venta!F67)</f>
        <v>130</v>
      </c>
      <c r="H67" s="74">
        <v>1</v>
      </c>
      <c r="I67" s="61">
        <f t="shared" si="0"/>
        <v>130</v>
      </c>
      <c r="J67" s="115" t="s">
        <v>2</v>
      </c>
      <c r="K67" s="119"/>
      <c r="L67" s="15" t="s">
        <v>178</v>
      </c>
    </row>
    <row r="68" spans="2:12" ht="15.75" customHeight="1" x14ac:dyDescent="0.3">
      <c r="B68" s="137" t="s">
        <v>42</v>
      </c>
      <c r="C68" s="138">
        <v>46183</v>
      </c>
      <c r="D68" s="139" t="s">
        <v>110</v>
      </c>
      <c r="E68" s="139" t="s">
        <v>50</v>
      </c>
      <c r="F68" s="139" t="s">
        <v>130</v>
      </c>
      <c r="G68" s="140">
        <f>SUMIFS(Product!$D$5:$D$24,Product!$C$5:$C$24,Venta!F69)</f>
        <v>180</v>
      </c>
      <c r="H68" s="141">
        <v>1</v>
      </c>
      <c r="I68" s="142">
        <f t="shared" ref="I68:I93" si="1">G68*H68</f>
        <v>180</v>
      </c>
      <c r="J68" s="143" t="s">
        <v>2</v>
      </c>
      <c r="K68" s="144"/>
      <c r="L68" s="15" t="s">
        <v>178</v>
      </c>
    </row>
    <row r="69" spans="2:12" ht="15.75" customHeight="1" x14ac:dyDescent="0.3">
      <c r="B69" s="137" t="s">
        <v>42</v>
      </c>
      <c r="C69" s="138">
        <v>46185</v>
      </c>
      <c r="D69" s="139" t="s">
        <v>110</v>
      </c>
      <c r="E69" s="139" t="s">
        <v>50</v>
      </c>
      <c r="F69" s="139" t="s">
        <v>130</v>
      </c>
      <c r="G69" s="140">
        <f>SUMIFS(Product!$D$5:$D$24,Product!$C$5:$C$24,Venta!F70)</f>
        <v>180</v>
      </c>
      <c r="H69" s="141">
        <v>1</v>
      </c>
      <c r="I69" s="142">
        <f t="shared" si="1"/>
        <v>180</v>
      </c>
      <c r="J69" s="143" t="s">
        <v>2</v>
      </c>
      <c r="K69" s="144" t="s">
        <v>132</v>
      </c>
      <c r="L69" s="15" t="s">
        <v>178</v>
      </c>
    </row>
    <row r="70" spans="2:12" ht="15.75" customHeight="1" x14ac:dyDescent="0.3">
      <c r="B70" s="137" t="s">
        <v>42</v>
      </c>
      <c r="C70" s="138">
        <v>46184</v>
      </c>
      <c r="D70" s="139" t="s">
        <v>110</v>
      </c>
      <c r="E70" s="139" t="s">
        <v>54</v>
      </c>
      <c r="F70" s="139" t="s">
        <v>130</v>
      </c>
      <c r="G70" s="140">
        <f>SUMIFS(Product!$D$5:$D$24,Product!$C$5:$C$24,Venta!F71)</f>
        <v>180</v>
      </c>
      <c r="H70" s="141">
        <v>1</v>
      </c>
      <c r="I70" s="142">
        <f t="shared" si="1"/>
        <v>180</v>
      </c>
      <c r="J70" s="143" t="s">
        <v>2</v>
      </c>
      <c r="K70" s="151" t="s">
        <v>133</v>
      </c>
      <c r="L70" s="78" t="s">
        <v>178</v>
      </c>
    </row>
    <row r="71" spans="2:12" ht="15.75" customHeight="1" x14ac:dyDescent="0.3">
      <c r="B71" s="137" t="s">
        <v>42</v>
      </c>
      <c r="C71" s="138">
        <v>46186</v>
      </c>
      <c r="D71" s="139" t="s">
        <v>110</v>
      </c>
      <c r="E71" s="139" t="s">
        <v>54</v>
      </c>
      <c r="F71" s="139" t="s">
        <v>130</v>
      </c>
      <c r="G71" s="140">
        <f>SUMIFS(Product!$D$5:$D$24,Product!$C$5:$C$24,Venta!F72)</f>
        <v>180</v>
      </c>
      <c r="H71" s="141">
        <v>2</v>
      </c>
      <c r="I71" s="142">
        <f t="shared" si="1"/>
        <v>360</v>
      </c>
      <c r="J71" s="143" t="s">
        <v>2</v>
      </c>
      <c r="K71" s="151" t="s">
        <v>134</v>
      </c>
      <c r="L71" s="78" t="s">
        <v>178</v>
      </c>
    </row>
    <row r="72" spans="2:12" ht="15.75" customHeight="1" x14ac:dyDescent="0.3">
      <c r="B72" s="137" t="s">
        <v>42</v>
      </c>
      <c r="C72" s="138">
        <v>46183</v>
      </c>
      <c r="D72" s="139" t="s">
        <v>110</v>
      </c>
      <c r="E72" s="139" t="s">
        <v>89</v>
      </c>
      <c r="F72" s="139" t="s">
        <v>130</v>
      </c>
      <c r="G72" s="140">
        <f>SUMIFS(Product!$D$5:$D$24,Product!$C$5:$C$24,Venta!F72)</f>
        <v>180</v>
      </c>
      <c r="H72" s="141">
        <v>1</v>
      </c>
      <c r="I72" s="142">
        <f t="shared" si="1"/>
        <v>180</v>
      </c>
      <c r="J72" s="143" t="s">
        <v>2</v>
      </c>
      <c r="K72" s="151" t="s">
        <v>135</v>
      </c>
      <c r="L72" s="78" t="s">
        <v>178</v>
      </c>
    </row>
    <row r="73" spans="2:12" ht="15.75" customHeight="1" x14ac:dyDescent="0.3">
      <c r="B73" s="137" t="s">
        <v>42</v>
      </c>
      <c r="C73" s="138">
        <v>46186</v>
      </c>
      <c r="D73" s="139" t="s">
        <v>110</v>
      </c>
      <c r="E73" s="139" t="s">
        <v>54</v>
      </c>
      <c r="F73" s="139" t="s">
        <v>79</v>
      </c>
      <c r="G73" s="140">
        <f>SUMIFS(Product!$D$5:$D$24,Product!$C$5:$C$24,Venta!F74)</f>
        <v>130</v>
      </c>
      <c r="H73" s="141">
        <v>1</v>
      </c>
      <c r="I73" s="142">
        <f t="shared" si="1"/>
        <v>130</v>
      </c>
      <c r="J73" s="143" t="s">
        <v>2</v>
      </c>
      <c r="K73" s="151"/>
      <c r="L73" s="166" t="s">
        <v>180</v>
      </c>
    </row>
    <row r="74" spans="2:12" ht="15.75" customHeight="1" x14ac:dyDescent="0.3">
      <c r="B74" s="137" t="s">
        <v>42</v>
      </c>
      <c r="C74" s="138">
        <v>46181</v>
      </c>
      <c r="D74" s="139" t="s">
        <v>110</v>
      </c>
      <c r="E74" s="139" t="s">
        <v>54</v>
      </c>
      <c r="F74" s="139" t="s">
        <v>79</v>
      </c>
      <c r="G74" s="140">
        <f>SUMIFS(Product!$D$5:$D$24,Product!$C$5:$C$24,Venta!F84)</f>
        <v>130</v>
      </c>
      <c r="H74" s="141">
        <v>1</v>
      </c>
      <c r="I74" s="142">
        <f t="shared" si="1"/>
        <v>130</v>
      </c>
      <c r="J74" s="143" t="s">
        <v>2</v>
      </c>
      <c r="K74" s="151"/>
      <c r="L74" s="78" t="s">
        <v>178</v>
      </c>
    </row>
    <row r="75" spans="2:12" ht="15.75" customHeight="1" x14ac:dyDescent="0.3">
      <c r="B75" s="137" t="s">
        <v>42</v>
      </c>
      <c r="C75" s="138">
        <v>46186</v>
      </c>
      <c r="D75" s="139" t="s">
        <v>110</v>
      </c>
      <c r="E75" s="139" t="s">
        <v>52</v>
      </c>
      <c r="F75" s="139" t="s">
        <v>79</v>
      </c>
      <c r="G75" s="140">
        <f>SUMIFS(Product!$D$5:$D$24,Product!$C$5:$C$24,Venta!F77)</f>
        <v>130</v>
      </c>
      <c r="H75" s="141">
        <v>6</v>
      </c>
      <c r="I75" s="142">
        <f t="shared" si="1"/>
        <v>780</v>
      </c>
      <c r="J75" s="143" t="s">
        <v>2</v>
      </c>
      <c r="K75" s="151"/>
      <c r="L75" s="78" t="s">
        <v>178</v>
      </c>
    </row>
    <row r="76" spans="2:12" ht="15.75" customHeight="1" x14ac:dyDescent="0.3">
      <c r="B76" s="137" t="s">
        <v>42</v>
      </c>
      <c r="C76" s="138">
        <v>46182</v>
      </c>
      <c r="D76" s="139" t="s">
        <v>110</v>
      </c>
      <c r="E76" s="139" t="s">
        <v>53</v>
      </c>
      <c r="F76" s="139" t="s">
        <v>79</v>
      </c>
      <c r="G76" s="140">
        <f>SUMIFS(Product!$D$5:$D$24,Product!$C$5:$C$24,Venta!F78)</f>
        <v>130</v>
      </c>
      <c r="H76" s="141">
        <v>3</v>
      </c>
      <c r="I76" s="142">
        <f t="shared" si="1"/>
        <v>390</v>
      </c>
      <c r="J76" s="143" t="s">
        <v>2</v>
      </c>
      <c r="K76" s="151"/>
      <c r="L76" s="78" t="s">
        <v>178</v>
      </c>
    </row>
    <row r="77" spans="2:12" ht="15.75" customHeight="1" x14ac:dyDescent="0.3">
      <c r="B77" s="137" t="s">
        <v>42</v>
      </c>
      <c r="C77" s="138">
        <v>46186</v>
      </c>
      <c r="D77" s="139" t="s">
        <v>110</v>
      </c>
      <c r="E77" s="139" t="s">
        <v>51</v>
      </c>
      <c r="F77" s="139" t="s">
        <v>79</v>
      </c>
      <c r="G77" s="140">
        <f>SUMIFS(Product!$D$5:$D$24,Product!$C$5:$C$24,Venta!F85)</f>
        <v>130</v>
      </c>
      <c r="H77" s="141">
        <v>2</v>
      </c>
      <c r="I77" s="142">
        <f t="shared" si="1"/>
        <v>260</v>
      </c>
      <c r="J77" s="143" t="s">
        <v>83</v>
      </c>
      <c r="K77" s="151"/>
      <c r="L77" s="78" t="s">
        <v>178</v>
      </c>
    </row>
    <row r="78" spans="2:12" ht="15.75" customHeight="1" x14ac:dyDescent="0.3">
      <c r="B78" s="137" t="s">
        <v>42</v>
      </c>
      <c r="C78" s="138">
        <v>46186</v>
      </c>
      <c r="D78" s="139" t="s">
        <v>110</v>
      </c>
      <c r="E78" s="139" t="s">
        <v>51</v>
      </c>
      <c r="F78" s="139" t="s">
        <v>79</v>
      </c>
      <c r="G78" s="140">
        <f>SUMIFS(Product!$D$5:$D$24,Product!$C$5:$C$24,Venta!F88)</f>
        <v>130</v>
      </c>
      <c r="H78" s="141">
        <v>2</v>
      </c>
      <c r="I78" s="142">
        <f t="shared" si="1"/>
        <v>260</v>
      </c>
      <c r="J78" s="143" t="s">
        <v>2</v>
      </c>
      <c r="K78" s="151"/>
      <c r="L78" s="78" t="s">
        <v>178</v>
      </c>
    </row>
    <row r="79" spans="2:12" ht="15.75" customHeight="1" x14ac:dyDescent="0.3">
      <c r="B79" s="137" t="s">
        <v>42</v>
      </c>
      <c r="C79" s="138">
        <v>46186</v>
      </c>
      <c r="D79" s="139" t="s">
        <v>110</v>
      </c>
      <c r="E79" s="139" t="s">
        <v>51</v>
      </c>
      <c r="F79" s="139" t="s">
        <v>79</v>
      </c>
      <c r="G79" s="140">
        <f>SUMIFS(Product!$D$5:$D$24,Product!$C$5:$C$24,Venta!F91)</f>
        <v>130</v>
      </c>
      <c r="H79" s="141">
        <v>1</v>
      </c>
      <c r="I79" s="142">
        <f t="shared" si="1"/>
        <v>130</v>
      </c>
      <c r="J79" s="143" t="s">
        <v>128</v>
      </c>
      <c r="K79" s="151"/>
      <c r="L79" s="78" t="s">
        <v>178</v>
      </c>
    </row>
    <row r="80" spans="2:12" ht="15.75" customHeight="1" x14ac:dyDescent="0.3">
      <c r="B80" s="137" t="s">
        <v>42</v>
      </c>
      <c r="C80" s="138">
        <v>46186</v>
      </c>
      <c r="D80" s="139" t="s">
        <v>110</v>
      </c>
      <c r="E80" s="139" t="s">
        <v>54</v>
      </c>
      <c r="F80" s="139" t="s">
        <v>80</v>
      </c>
      <c r="G80" s="140">
        <f>SUMIFS(Product!$D$5:$D$24,Product!$C$5:$C$24,Venta!F73)</f>
        <v>130</v>
      </c>
      <c r="H80" s="141">
        <v>1</v>
      </c>
      <c r="I80" s="142">
        <f t="shared" si="1"/>
        <v>130</v>
      </c>
      <c r="J80" s="143" t="s">
        <v>2</v>
      </c>
      <c r="K80" s="151"/>
      <c r="L80" s="78" t="s">
        <v>178</v>
      </c>
    </row>
    <row r="81" spans="2:12" ht="15.75" customHeight="1" x14ac:dyDescent="0.3">
      <c r="B81" s="137" t="s">
        <v>42</v>
      </c>
      <c r="C81" s="138">
        <v>46185</v>
      </c>
      <c r="D81" s="139" t="s">
        <v>110</v>
      </c>
      <c r="E81" s="139" t="s">
        <v>54</v>
      </c>
      <c r="F81" s="139" t="s">
        <v>80</v>
      </c>
      <c r="G81" s="140">
        <f>SUMIFS(Product!$D$5:$D$24,Product!$C$5:$C$24,Venta!F75)</f>
        <v>130</v>
      </c>
      <c r="H81" s="141">
        <v>1</v>
      </c>
      <c r="I81" s="142">
        <f t="shared" si="1"/>
        <v>130</v>
      </c>
      <c r="J81" s="143" t="s">
        <v>2</v>
      </c>
      <c r="K81" s="151"/>
      <c r="L81" s="78" t="s">
        <v>178</v>
      </c>
    </row>
    <row r="82" spans="2:12" ht="15.75" customHeight="1" x14ac:dyDescent="0.3">
      <c r="B82" s="137" t="s">
        <v>42</v>
      </c>
      <c r="C82" s="138">
        <v>46182</v>
      </c>
      <c r="D82" s="139" t="s">
        <v>110</v>
      </c>
      <c r="E82" s="139" t="s">
        <v>53</v>
      </c>
      <c r="F82" s="139" t="s">
        <v>80</v>
      </c>
      <c r="G82" s="140">
        <f>SUMIFS(Product!$D$5:$D$24,Product!$C$5:$C$24,Venta!F79)</f>
        <v>130</v>
      </c>
      <c r="H82" s="141">
        <v>1</v>
      </c>
      <c r="I82" s="142">
        <f t="shared" si="1"/>
        <v>130</v>
      </c>
      <c r="J82" s="143" t="s">
        <v>2</v>
      </c>
      <c r="K82" s="151" t="s">
        <v>134</v>
      </c>
      <c r="L82" s="78" t="s">
        <v>178</v>
      </c>
    </row>
    <row r="83" spans="2:12" ht="15.75" customHeight="1" x14ac:dyDescent="0.3">
      <c r="B83" s="137" t="s">
        <v>42</v>
      </c>
      <c r="C83" s="138">
        <v>46183</v>
      </c>
      <c r="D83" s="139" t="s">
        <v>110</v>
      </c>
      <c r="E83" s="139" t="s">
        <v>89</v>
      </c>
      <c r="F83" s="139" t="s">
        <v>80</v>
      </c>
      <c r="G83" s="140">
        <f>SUMIFS(Product!$D$5:$D$24,Product!$C$5:$C$24,Venta!F81)</f>
        <v>130</v>
      </c>
      <c r="H83" s="141">
        <v>1</v>
      </c>
      <c r="I83" s="142">
        <f t="shared" si="1"/>
        <v>130</v>
      </c>
      <c r="J83" s="143" t="s">
        <v>2</v>
      </c>
      <c r="K83" s="151"/>
      <c r="L83" s="78" t="s">
        <v>178</v>
      </c>
    </row>
    <row r="84" spans="2:12" ht="15.75" customHeight="1" x14ac:dyDescent="0.3">
      <c r="B84" s="137" t="s">
        <v>42</v>
      </c>
      <c r="C84" s="138">
        <v>46186</v>
      </c>
      <c r="D84" s="139" t="s">
        <v>110</v>
      </c>
      <c r="E84" s="139" t="s">
        <v>89</v>
      </c>
      <c r="F84" s="139" t="s">
        <v>80</v>
      </c>
      <c r="G84" s="140">
        <f>SUMIFS(Product!$D$5:$D$24,Product!$C$5:$C$24,Venta!F92)</f>
        <v>130</v>
      </c>
      <c r="H84" s="141">
        <v>1</v>
      </c>
      <c r="I84" s="142">
        <f t="shared" si="1"/>
        <v>130</v>
      </c>
      <c r="J84" s="143" t="s">
        <v>2</v>
      </c>
      <c r="K84" s="151"/>
      <c r="L84" s="78" t="s">
        <v>178</v>
      </c>
    </row>
    <row r="85" spans="2:12" ht="15.75" customHeight="1" x14ac:dyDescent="0.3">
      <c r="B85" s="137" t="s">
        <v>42</v>
      </c>
      <c r="C85" s="138">
        <v>46181</v>
      </c>
      <c r="D85" s="139" t="s">
        <v>110</v>
      </c>
      <c r="E85" s="139" t="s">
        <v>54</v>
      </c>
      <c r="F85" s="139" t="s">
        <v>80</v>
      </c>
      <c r="G85" s="140">
        <f>SUMIFS(Product!$D$5:$D$24,Product!$C$5:$C$24,Venta!F83)</f>
        <v>130</v>
      </c>
      <c r="H85" s="141">
        <v>1</v>
      </c>
      <c r="I85" s="142">
        <f t="shared" si="1"/>
        <v>130</v>
      </c>
      <c r="J85" s="143" t="s">
        <v>2</v>
      </c>
      <c r="K85" s="151"/>
      <c r="L85" s="78" t="s">
        <v>178</v>
      </c>
    </row>
    <row r="86" spans="2:12" ht="15.75" customHeight="1" x14ac:dyDescent="0.3">
      <c r="B86" s="137" t="s">
        <v>42</v>
      </c>
      <c r="C86" s="138">
        <v>46186</v>
      </c>
      <c r="D86" s="139" t="s">
        <v>110</v>
      </c>
      <c r="E86" s="139" t="s">
        <v>51</v>
      </c>
      <c r="F86" s="139" t="s">
        <v>80</v>
      </c>
      <c r="G86" s="140">
        <f>SUMIFS(Product!$D$5:$D$24,Product!$C$5:$C$24,Venta!F87)</f>
        <v>130</v>
      </c>
      <c r="H86" s="141">
        <v>1</v>
      </c>
      <c r="I86" s="142">
        <f t="shared" si="1"/>
        <v>130</v>
      </c>
      <c r="J86" s="143" t="s">
        <v>83</v>
      </c>
      <c r="K86" s="151"/>
      <c r="L86" s="78" t="s">
        <v>178</v>
      </c>
    </row>
    <row r="87" spans="2:12" ht="15.75" customHeight="1" x14ac:dyDescent="0.3">
      <c r="B87" s="137" t="s">
        <v>42</v>
      </c>
      <c r="C87" s="138">
        <v>46186</v>
      </c>
      <c r="D87" s="139" t="s">
        <v>110</v>
      </c>
      <c r="E87" s="139" t="s">
        <v>51</v>
      </c>
      <c r="F87" s="139" t="s">
        <v>80</v>
      </c>
      <c r="G87" s="140">
        <f>SUMIFS(Product!$D$5:$D$24,Product!$C$5:$C$24,Venta!F89)</f>
        <v>130</v>
      </c>
      <c r="H87" s="141">
        <v>5</v>
      </c>
      <c r="I87" s="142">
        <f t="shared" si="1"/>
        <v>650</v>
      </c>
      <c r="J87" s="143" t="s">
        <v>2</v>
      </c>
      <c r="K87" s="151"/>
      <c r="L87" s="78" t="s">
        <v>178</v>
      </c>
    </row>
    <row r="88" spans="2:12" ht="15.75" customHeight="1" x14ac:dyDescent="0.3">
      <c r="B88" s="137" t="s">
        <v>42</v>
      </c>
      <c r="C88" s="138">
        <v>46186</v>
      </c>
      <c r="D88" s="139" t="s">
        <v>137</v>
      </c>
      <c r="E88" s="139" t="s">
        <v>89</v>
      </c>
      <c r="F88" s="139" t="s">
        <v>113</v>
      </c>
      <c r="G88" s="140">
        <f>SUMIFS(Product!$D$5:$D$24,Product!$C$5:$C$24,Venta!F88)</f>
        <v>130</v>
      </c>
      <c r="H88" s="141">
        <v>1</v>
      </c>
      <c r="I88" s="142">
        <f t="shared" si="1"/>
        <v>130</v>
      </c>
      <c r="J88" s="143" t="s">
        <v>2</v>
      </c>
      <c r="K88" s="151"/>
      <c r="L88" s="78" t="s">
        <v>178</v>
      </c>
    </row>
    <row r="89" spans="2:12" ht="15.75" customHeight="1" x14ac:dyDescent="0.3">
      <c r="B89" s="137" t="s">
        <v>42</v>
      </c>
      <c r="C89" s="138">
        <v>46186</v>
      </c>
      <c r="D89" s="139" t="s">
        <v>137</v>
      </c>
      <c r="E89" s="139" t="s">
        <v>50</v>
      </c>
      <c r="F89" s="139" t="s">
        <v>87</v>
      </c>
      <c r="G89" s="140">
        <f>SUMIFS(Product!$D$5:$D$24,Product!$C$5:$C$24,Venta!F89)</f>
        <v>130</v>
      </c>
      <c r="H89" s="141">
        <v>1</v>
      </c>
      <c r="I89" s="142">
        <f t="shared" si="1"/>
        <v>130</v>
      </c>
      <c r="J89" s="143" t="s">
        <v>2</v>
      </c>
      <c r="K89" s="144"/>
      <c r="L89" s="15" t="s">
        <v>178</v>
      </c>
    </row>
    <row r="90" spans="2:12" ht="15.75" customHeight="1" x14ac:dyDescent="0.3">
      <c r="B90" s="137" t="s">
        <v>42</v>
      </c>
      <c r="C90" s="138">
        <v>46185</v>
      </c>
      <c r="D90" s="139" t="s">
        <v>110</v>
      </c>
      <c r="E90" s="139" t="s">
        <v>54</v>
      </c>
      <c r="F90" s="139" t="s">
        <v>81</v>
      </c>
      <c r="G90" s="140">
        <f>SUMIFS(Product!$D$5:$D$24,Product!$C$5:$C$24,Venta!F76)</f>
        <v>130</v>
      </c>
      <c r="H90" s="141">
        <v>1</v>
      </c>
      <c r="I90" s="142">
        <f t="shared" si="1"/>
        <v>130</v>
      </c>
      <c r="J90" s="143" t="s">
        <v>2</v>
      </c>
      <c r="K90" s="151"/>
      <c r="L90" s="78" t="s">
        <v>178</v>
      </c>
    </row>
    <row r="91" spans="2:12" ht="15.75" customHeight="1" x14ac:dyDescent="0.3">
      <c r="B91" s="137" t="s">
        <v>42</v>
      </c>
      <c r="C91" s="138">
        <v>46186</v>
      </c>
      <c r="D91" s="139" t="s">
        <v>110</v>
      </c>
      <c r="E91" s="139" t="s">
        <v>51</v>
      </c>
      <c r="F91" s="139" t="s">
        <v>87</v>
      </c>
      <c r="G91" s="140">
        <f>SUMIFS(Product!$D$5:$D$24,Product!$C$5:$C$24,Venta!F86)</f>
        <v>130</v>
      </c>
      <c r="H91" s="141">
        <v>2</v>
      </c>
      <c r="I91" s="142">
        <f t="shared" si="1"/>
        <v>260</v>
      </c>
      <c r="J91" s="143" t="s">
        <v>83</v>
      </c>
      <c r="K91" s="151"/>
      <c r="L91" s="78" t="s">
        <v>178</v>
      </c>
    </row>
    <row r="92" spans="2:12" ht="15.75" customHeight="1" x14ac:dyDescent="0.3">
      <c r="B92" s="137" t="s">
        <v>42</v>
      </c>
      <c r="C92" s="138">
        <v>46186</v>
      </c>
      <c r="D92" s="139" t="s">
        <v>110</v>
      </c>
      <c r="E92" s="139" t="s">
        <v>51</v>
      </c>
      <c r="F92" s="139" t="s">
        <v>87</v>
      </c>
      <c r="G92" s="140">
        <f>SUMIFS(Product!$D$5:$D$24,Product!$C$5:$C$24,Venta!F90)</f>
        <v>130</v>
      </c>
      <c r="H92" s="141">
        <v>1</v>
      </c>
      <c r="I92" s="142">
        <f t="shared" si="1"/>
        <v>130</v>
      </c>
      <c r="J92" s="143" t="s">
        <v>128</v>
      </c>
      <c r="K92" s="151"/>
      <c r="L92" s="78" t="s">
        <v>178</v>
      </c>
    </row>
    <row r="93" spans="2:12" ht="15.75" customHeight="1" x14ac:dyDescent="0.3">
      <c r="B93" s="137" t="s">
        <v>42</v>
      </c>
      <c r="C93" s="138">
        <v>46184</v>
      </c>
      <c r="D93" s="139" t="s">
        <v>110</v>
      </c>
      <c r="E93" s="139" t="s">
        <v>89</v>
      </c>
      <c r="F93" s="139" t="s">
        <v>87</v>
      </c>
      <c r="G93" s="140">
        <f>SUMIFS(Product!$D$5:$D$24,Product!$C$5:$C$24,Venta!F80)</f>
        <v>130</v>
      </c>
      <c r="H93" s="141">
        <v>1</v>
      </c>
      <c r="I93" s="142">
        <f t="shared" si="1"/>
        <v>130</v>
      </c>
      <c r="J93" s="143" t="s">
        <v>2</v>
      </c>
      <c r="K93" s="151"/>
      <c r="L93" s="78" t="s">
        <v>178</v>
      </c>
    </row>
    <row r="94" spans="2:12" ht="15.75" customHeight="1" x14ac:dyDescent="0.3">
      <c r="B94" s="21" t="s">
        <v>92</v>
      </c>
      <c r="C94" s="56">
        <v>46188</v>
      </c>
      <c r="D94" s="6" t="s">
        <v>110</v>
      </c>
      <c r="E94" s="6" t="s">
        <v>52</v>
      </c>
      <c r="F94" s="6" t="s">
        <v>156</v>
      </c>
      <c r="G94" s="40">
        <f>SUMIFS(Product!$D$5:$D$24,Product!$C$5:$C$24,Venta!F94)</f>
        <v>70</v>
      </c>
      <c r="H94" s="94">
        <v>10</v>
      </c>
      <c r="I94" s="41">
        <f t="shared" ref="I94:I130" si="2">G94*H94</f>
        <v>700</v>
      </c>
      <c r="J94" s="116" t="s">
        <v>83</v>
      </c>
      <c r="L94" s="78" t="s">
        <v>178</v>
      </c>
    </row>
    <row r="95" spans="2:12" ht="15.75" customHeight="1" x14ac:dyDescent="0.3">
      <c r="B95" s="21" t="s">
        <v>43</v>
      </c>
      <c r="C95" s="56">
        <v>46188</v>
      </c>
      <c r="D95" s="6" t="s">
        <v>110</v>
      </c>
      <c r="E95" s="6" t="s">
        <v>52</v>
      </c>
      <c r="F95" s="6" t="s">
        <v>155</v>
      </c>
      <c r="G95" s="40">
        <f>SUMIFS(Product!$D$5:$D$24,Product!$C$5:$C$24,Venta!F95)</f>
        <v>70</v>
      </c>
      <c r="H95" s="94">
        <v>5</v>
      </c>
      <c r="I95" s="41">
        <f t="shared" si="2"/>
        <v>350</v>
      </c>
      <c r="J95" s="116" t="s">
        <v>83</v>
      </c>
      <c r="L95" s="78" t="s">
        <v>178</v>
      </c>
    </row>
    <row r="96" spans="2:12" ht="15.75" customHeight="1" x14ac:dyDescent="0.3">
      <c r="B96" s="21" t="s">
        <v>92</v>
      </c>
      <c r="C96" s="56">
        <v>46188</v>
      </c>
      <c r="D96" s="6" t="s">
        <v>110</v>
      </c>
      <c r="E96" s="6" t="s">
        <v>52</v>
      </c>
      <c r="F96" s="6" t="s">
        <v>130</v>
      </c>
      <c r="G96" s="40">
        <f>SUMIFS(Product!$D$5:$D$24,Product!$C$5:$C$24,Venta!F96)</f>
        <v>180</v>
      </c>
      <c r="H96" s="94">
        <v>2</v>
      </c>
      <c r="I96" s="41">
        <f t="shared" si="2"/>
        <v>360</v>
      </c>
      <c r="J96" s="116" t="s">
        <v>83</v>
      </c>
      <c r="K96" s="152" t="s">
        <v>158</v>
      </c>
      <c r="L96" s="78" t="s">
        <v>178</v>
      </c>
    </row>
    <row r="97" spans="2:12" ht="15.75" customHeight="1" x14ac:dyDescent="0.3">
      <c r="B97" s="21" t="s">
        <v>92</v>
      </c>
      <c r="C97" s="56">
        <v>46188</v>
      </c>
      <c r="D97" s="6" t="s">
        <v>110</v>
      </c>
      <c r="E97" s="6" t="s">
        <v>52</v>
      </c>
      <c r="F97" s="6" t="s">
        <v>79</v>
      </c>
      <c r="G97" s="40">
        <f>SUMIFS(Product!$D$5:$D$24,Product!$C$5:$C$24,Venta!F97)</f>
        <v>130</v>
      </c>
      <c r="H97" s="94">
        <v>1</v>
      </c>
      <c r="I97" s="41">
        <f t="shared" si="2"/>
        <v>130</v>
      </c>
      <c r="J97" s="116" t="s">
        <v>83</v>
      </c>
      <c r="L97" s="78" t="s">
        <v>178</v>
      </c>
    </row>
    <row r="98" spans="2:12" ht="15.75" customHeight="1" x14ac:dyDescent="0.3">
      <c r="B98" s="21" t="s">
        <v>92</v>
      </c>
      <c r="C98" s="56">
        <v>46188</v>
      </c>
      <c r="D98" s="6" t="s">
        <v>161</v>
      </c>
      <c r="E98" s="6" t="s">
        <v>50</v>
      </c>
      <c r="F98" s="6" t="s">
        <v>79</v>
      </c>
      <c r="G98" s="40">
        <f>SUMIFS(Product!$D$5:$D$24,Product!$C$5:$C$24,Venta!F98)</f>
        <v>130</v>
      </c>
      <c r="H98" s="94">
        <v>1</v>
      </c>
      <c r="I98" s="41">
        <f t="shared" si="2"/>
        <v>130</v>
      </c>
      <c r="J98" s="116" t="s">
        <v>83</v>
      </c>
      <c r="K98" s="78"/>
      <c r="L98" s="15" t="s">
        <v>178</v>
      </c>
    </row>
    <row r="99" spans="2:12" ht="15.75" customHeight="1" x14ac:dyDescent="0.3">
      <c r="B99" s="21" t="s">
        <v>92</v>
      </c>
      <c r="C99" s="56">
        <v>46188</v>
      </c>
      <c r="D99" s="6" t="s">
        <v>108</v>
      </c>
      <c r="E99" s="6" t="s">
        <v>50</v>
      </c>
      <c r="F99" s="6" t="s">
        <v>162</v>
      </c>
      <c r="G99" s="40">
        <f>SUMIFS(Product!$D$5:$D$24,Product!$C$5:$C$24,Venta!F99)</f>
        <v>130</v>
      </c>
      <c r="H99" s="94">
        <v>1</v>
      </c>
      <c r="I99" s="41">
        <f t="shared" si="2"/>
        <v>130</v>
      </c>
      <c r="J99" s="116" t="s">
        <v>83</v>
      </c>
      <c r="K99" s="78"/>
      <c r="L99" s="15" t="s">
        <v>178</v>
      </c>
    </row>
    <row r="100" spans="2:12" ht="15.75" customHeight="1" x14ac:dyDescent="0.3">
      <c r="B100" s="21" t="s">
        <v>92</v>
      </c>
      <c r="C100" s="56">
        <v>46188</v>
      </c>
      <c r="D100" s="6" t="s">
        <v>163</v>
      </c>
      <c r="E100" s="6" t="s">
        <v>50</v>
      </c>
      <c r="F100" s="6" t="s">
        <v>162</v>
      </c>
      <c r="G100" s="40">
        <f>SUMIFS(Product!$D$5:$D$24,Product!$C$5:$C$24,Venta!F100)</f>
        <v>130</v>
      </c>
      <c r="H100" s="94">
        <v>1</v>
      </c>
      <c r="I100" s="41">
        <f t="shared" si="2"/>
        <v>130</v>
      </c>
      <c r="J100" s="116" t="s">
        <v>2</v>
      </c>
      <c r="K100" s="78"/>
      <c r="L100" s="15" t="s">
        <v>178</v>
      </c>
    </row>
    <row r="101" spans="2:12" ht="15.75" customHeight="1" x14ac:dyDescent="0.3">
      <c r="B101" s="21" t="s">
        <v>92</v>
      </c>
      <c r="C101" s="56">
        <v>46189</v>
      </c>
      <c r="D101" s="6" t="s">
        <v>166</v>
      </c>
      <c r="E101" s="6" t="s">
        <v>50</v>
      </c>
      <c r="F101" s="6" t="s">
        <v>130</v>
      </c>
      <c r="G101" s="40">
        <f>SUMIFS(Product!$D$5:$D$24,Product!$C$5:$C$24,Venta!F101)</f>
        <v>180</v>
      </c>
      <c r="H101" s="94">
        <v>1</v>
      </c>
      <c r="I101" s="41">
        <f t="shared" si="2"/>
        <v>180</v>
      </c>
      <c r="J101" s="116" t="s">
        <v>2</v>
      </c>
      <c r="K101" s="145" t="s">
        <v>168</v>
      </c>
      <c r="L101" s="15" t="s">
        <v>178</v>
      </c>
    </row>
    <row r="102" spans="2:12" ht="15.75" customHeight="1" x14ac:dyDescent="0.3">
      <c r="B102" s="21" t="s">
        <v>92</v>
      </c>
      <c r="C102" s="56">
        <v>46191</v>
      </c>
      <c r="D102" s="6" t="s">
        <v>166</v>
      </c>
      <c r="E102" s="6" t="s">
        <v>50</v>
      </c>
      <c r="F102" s="6" t="s">
        <v>130</v>
      </c>
      <c r="G102" s="40">
        <f>SUMIFS(Product!$D$5:$D$24,Product!$C$5:$C$24,Venta!F102)</f>
        <v>180</v>
      </c>
      <c r="H102" s="94">
        <v>1</v>
      </c>
      <c r="I102" s="41">
        <f t="shared" si="2"/>
        <v>180</v>
      </c>
      <c r="J102" s="116" t="s">
        <v>2</v>
      </c>
      <c r="K102" s="145" t="s">
        <v>169</v>
      </c>
      <c r="L102" s="15" t="s">
        <v>178</v>
      </c>
    </row>
    <row r="103" spans="2:12" ht="15.75" customHeight="1" x14ac:dyDescent="0.3">
      <c r="B103" s="21" t="s">
        <v>92</v>
      </c>
      <c r="C103" s="56">
        <v>46193</v>
      </c>
      <c r="D103" s="6" t="s">
        <v>110</v>
      </c>
      <c r="E103" s="6" t="s">
        <v>89</v>
      </c>
      <c r="F103" s="6" t="s">
        <v>130</v>
      </c>
      <c r="G103" s="40">
        <f>SUMIFS(Product!$D$5:$D$24,Product!$C$5:$C$24,Venta!F103)</f>
        <v>180</v>
      </c>
      <c r="H103" s="94">
        <v>1</v>
      </c>
      <c r="I103" s="41">
        <f t="shared" si="2"/>
        <v>180</v>
      </c>
      <c r="J103" s="116" t="s">
        <v>2</v>
      </c>
      <c r="K103" s="152" t="s">
        <v>135</v>
      </c>
      <c r="L103" s="78" t="s">
        <v>178</v>
      </c>
    </row>
    <row r="104" spans="2:12" ht="15.75" customHeight="1" x14ac:dyDescent="0.3">
      <c r="B104" s="21" t="s">
        <v>92</v>
      </c>
      <c r="C104" s="56">
        <v>46194</v>
      </c>
      <c r="D104" s="6" t="s">
        <v>110</v>
      </c>
      <c r="E104" s="6" t="s">
        <v>89</v>
      </c>
      <c r="F104" s="6" t="s">
        <v>130</v>
      </c>
      <c r="G104" s="40">
        <f>SUMIFS(Product!$D$5:$D$24,Product!$C$5:$C$24,Venta!F104)</f>
        <v>180</v>
      </c>
      <c r="H104" s="94">
        <v>1</v>
      </c>
      <c r="I104" s="41">
        <f t="shared" ref="I104" si="3">G104*H104</f>
        <v>180</v>
      </c>
      <c r="J104" s="116" t="s">
        <v>2</v>
      </c>
      <c r="K104" s="152" t="s">
        <v>167</v>
      </c>
      <c r="L104" s="78" t="s">
        <v>178</v>
      </c>
    </row>
    <row r="105" spans="2:12" ht="15.75" customHeight="1" x14ac:dyDescent="0.3">
      <c r="B105" s="21" t="s">
        <v>43</v>
      </c>
      <c r="C105" s="56">
        <v>46187</v>
      </c>
      <c r="D105" s="6" t="s">
        <v>170</v>
      </c>
      <c r="E105" s="6" t="s">
        <v>51</v>
      </c>
      <c r="F105" s="6" t="s">
        <v>81</v>
      </c>
      <c r="G105" s="40">
        <f>SUMIFS(Product!$D$5:$D$24,Product!$C$5:$C$24,Venta!F105)</f>
        <v>130</v>
      </c>
      <c r="H105" s="94">
        <v>2</v>
      </c>
      <c r="I105" s="41">
        <f t="shared" si="2"/>
        <v>260</v>
      </c>
      <c r="J105" s="116" t="s">
        <v>2</v>
      </c>
      <c r="L105" s="78" t="s">
        <v>178</v>
      </c>
    </row>
    <row r="106" spans="2:12" ht="15.75" customHeight="1" x14ac:dyDescent="0.3">
      <c r="B106" s="21" t="s">
        <v>92</v>
      </c>
      <c r="C106" s="56">
        <v>46187</v>
      </c>
      <c r="D106" s="6" t="s">
        <v>170</v>
      </c>
      <c r="E106" s="6" t="s">
        <v>51</v>
      </c>
      <c r="F106" s="6" t="s">
        <v>79</v>
      </c>
      <c r="G106" s="40">
        <f>SUMIFS(Product!$D$5:$D$24,Product!$C$5:$C$24,Venta!F106)</f>
        <v>130</v>
      </c>
      <c r="H106" s="94">
        <v>1</v>
      </c>
      <c r="I106" s="41">
        <f t="shared" ref="I106" si="4">G106*H106</f>
        <v>130</v>
      </c>
      <c r="J106" s="116" t="s">
        <v>2</v>
      </c>
      <c r="L106" s="78" t="s">
        <v>178</v>
      </c>
    </row>
    <row r="107" spans="2:12" ht="15.75" customHeight="1" x14ac:dyDescent="0.3">
      <c r="B107" s="21" t="s">
        <v>92</v>
      </c>
      <c r="C107" s="56">
        <v>46193</v>
      </c>
      <c r="D107" s="6" t="s">
        <v>171</v>
      </c>
      <c r="E107" s="6" t="s">
        <v>51</v>
      </c>
      <c r="F107" s="6" t="s">
        <v>79</v>
      </c>
      <c r="G107" s="40">
        <f>SUMIFS(Product!$D$5:$D$24,Product!$C$5:$C$24,Venta!F107)</f>
        <v>130</v>
      </c>
      <c r="H107" s="94">
        <v>1</v>
      </c>
      <c r="I107" s="41">
        <f t="shared" ref="I107" si="5">G107*H107</f>
        <v>130</v>
      </c>
      <c r="J107" s="116" t="s">
        <v>2</v>
      </c>
      <c r="L107" s="78" t="s">
        <v>178</v>
      </c>
    </row>
    <row r="108" spans="2:12" ht="15.75" customHeight="1" x14ac:dyDescent="0.3">
      <c r="B108" s="21" t="s">
        <v>43</v>
      </c>
      <c r="C108" s="56">
        <v>46193</v>
      </c>
      <c r="D108" s="6" t="s">
        <v>110</v>
      </c>
      <c r="E108" s="6" t="s">
        <v>84</v>
      </c>
      <c r="F108" s="6" t="s">
        <v>113</v>
      </c>
      <c r="G108" s="40">
        <f>SUMIFS(Product!$D$5:$D$24,Product!$C$5:$C$24,Venta!F108)</f>
        <v>130</v>
      </c>
      <c r="H108" s="94">
        <v>2</v>
      </c>
      <c r="I108" s="41">
        <f t="shared" si="2"/>
        <v>260</v>
      </c>
      <c r="J108" s="116" t="s">
        <v>2</v>
      </c>
      <c r="L108" s="78" t="s">
        <v>178</v>
      </c>
    </row>
    <row r="109" spans="2:12" ht="15.75" customHeight="1" x14ac:dyDescent="0.3">
      <c r="B109" s="21" t="s">
        <v>43</v>
      </c>
      <c r="C109" s="56">
        <v>46189</v>
      </c>
      <c r="D109" s="6" t="s">
        <v>110</v>
      </c>
      <c r="E109" s="6" t="s">
        <v>84</v>
      </c>
      <c r="F109" s="6" t="s">
        <v>130</v>
      </c>
      <c r="G109" s="40">
        <f>SUMIFS(Product!$D$5:$D$24,Product!$C$5:$C$24,Venta!F109)</f>
        <v>180</v>
      </c>
      <c r="H109" s="94">
        <v>1</v>
      </c>
      <c r="I109" s="41">
        <f t="shared" si="2"/>
        <v>180</v>
      </c>
      <c r="J109" s="116" t="s">
        <v>2</v>
      </c>
      <c r="K109" s="152" t="s">
        <v>168</v>
      </c>
      <c r="L109" s="78" t="s">
        <v>178</v>
      </c>
    </row>
    <row r="110" spans="2:12" ht="15.75" customHeight="1" x14ac:dyDescent="0.3">
      <c r="B110" s="153" t="s">
        <v>43</v>
      </c>
      <c r="C110" s="154">
        <v>46193</v>
      </c>
      <c r="D110" s="155" t="s">
        <v>172</v>
      </c>
      <c r="E110" s="155"/>
      <c r="F110" s="155" t="s">
        <v>79</v>
      </c>
      <c r="G110" s="156">
        <f>SUMIFS(Product!$D$5:$D$24,Product!$C$5:$C$24,Venta!F110)</f>
        <v>130</v>
      </c>
      <c r="H110" s="157">
        <v>4</v>
      </c>
      <c r="I110" s="158">
        <f t="shared" si="2"/>
        <v>520</v>
      </c>
      <c r="J110" s="120" t="s">
        <v>83</v>
      </c>
      <c r="L110" s="78" t="s">
        <v>178</v>
      </c>
    </row>
    <row r="111" spans="2:12" ht="15.75" customHeight="1" x14ac:dyDescent="0.3">
      <c r="B111" s="153" t="s">
        <v>43</v>
      </c>
      <c r="C111" s="154">
        <v>46193</v>
      </c>
      <c r="D111" s="155" t="s">
        <v>172</v>
      </c>
      <c r="E111" s="155"/>
      <c r="F111" s="155" t="s">
        <v>113</v>
      </c>
      <c r="G111" s="156">
        <f>SUMIFS(Product!$D$5:$D$24,Product!$C$5:$C$24,Venta!F111)</f>
        <v>130</v>
      </c>
      <c r="H111" s="157">
        <v>2</v>
      </c>
      <c r="I111" s="158">
        <f t="shared" si="2"/>
        <v>260</v>
      </c>
      <c r="J111" s="120" t="s">
        <v>83</v>
      </c>
      <c r="L111" s="78" t="s">
        <v>178</v>
      </c>
    </row>
    <row r="112" spans="2:12" ht="15.75" customHeight="1" x14ac:dyDescent="0.3">
      <c r="B112" s="153" t="s">
        <v>43</v>
      </c>
      <c r="C112" s="154">
        <v>46194</v>
      </c>
      <c r="D112" s="155" t="s">
        <v>172</v>
      </c>
      <c r="E112" s="155"/>
      <c r="F112" s="155" t="s">
        <v>87</v>
      </c>
      <c r="G112" s="156">
        <f>SUMIFS(Product!$D$5:$D$24,Product!$C$5:$C$24,Venta!F112)</f>
        <v>130</v>
      </c>
      <c r="H112" s="157">
        <v>1</v>
      </c>
      <c r="I112" s="158">
        <f t="shared" si="2"/>
        <v>130</v>
      </c>
      <c r="J112" s="120" t="s">
        <v>2</v>
      </c>
      <c r="L112" s="78" t="s">
        <v>178</v>
      </c>
    </row>
    <row r="113" spans="2:10" ht="15.75" customHeight="1" x14ac:dyDescent="0.3">
      <c r="B113" s="21" t="s">
        <v>43</v>
      </c>
      <c r="C113" s="56">
        <v>46188</v>
      </c>
      <c r="D113" s="6" t="s">
        <v>110</v>
      </c>
      <c r="E113" s="6" t="s">
        <v>54</v>
      </c>
      <c r="F113" s="6" t="s">
        <v>130</v>
      </c>
      <c r="G113" s="40">
        <f>SUMIFS(Product!$D$5:$D$24,Product!$C$5:$C$24,Venta!F113)</f>
        <v>180</v>
      </c>
      <c r="H113" s="94">
        <v>1</v>
      </c>
      <c r="I113" s="41">
        <f t="shared" si="2"/>
        <v>180</v>
      </c>
      <c r="J113" s="116"/>
    </row>
    <row r="114" spans="2:10" ht="15.75" customHeight="1" x14ac:dyDescent="0.3">
      <c r="B114" s="21"/>
      <c r="C114" s="56"/>
      <c r="D114" s="6"/>
      <c r="E114" s="6"/>
      <c r="F114" s="6"/>
      <c r="G114" s="40">
        <f>SUMIFS(Product!$D$5:$D$24,Product!$C$5:$C$24,Venta!F114)</f>
        <v>0</v>
      </c>
      <c r="H114" s="94"/>
      <c r="I114" s="41">
        <f t="shared" si="2"/>
        <v>0</v>
      </c>
      <c r="J114" s="116"/>
    </row>
    <row r="115" spans="2:10" ht="15.75" customHeight="1" x14ac:dyDescent="0.3">
      <c r="B115" s="21"/>
      <c r="C115" s="56"/>
      <c r="D115" s="6"/>
      <c r="E115" s="6"/>
      <c r="F115" s="6"/>
      <c r="G115" s="40">
        <f>SUMIFS(Product!$D$5:$D$24,Product!$C$5:$C$24,Venta!F115)</f>
        <v>0</v>
      </c>
      <c r="H115" s="94"/>
      <c r="I115" s="41">
        <f t="shared" si="2"/>
        <v>0</v>
      </c>
      <c r="J115" s="116"/>
    </row>
    <row r="116" spans="2:10" ht="15.75" customHeight="1" x14ac:dyDescent="0.3">
      <c r="B116" s="21"/>
      <c r="C116" s="56"/>
      <c r="D116" s="6"/>
      <c r="E116" s="6"/>
      <c r="F116" s="6"/>
      <c r="G116" s="40">
        <f>SUMIFS(Product!$D$5:$D$24,Product!$C$5:$C$24,Venta!F116)</f>
        <v>0</v>
      </c>
      <c r="H116" s="94"/>
      <c r="I116" s="41">
        <f t="shared" si="2"/>
        <v>0</v>
      </c>
      <c r="J116" s="116"/>
    </row>
    <row r="117" spans="2:10" ht="15.75" customHeight="1" x14ac:dyDescent="0.3">
      <c r="B117" s="21"/>
      <c r="C117" s="56"/>
      <c r="D117" s="6"/>
      <c r="E117" s="6"/>
      <c r="F117" s="6"/>
      <c r="G117" s="40">
        <f>SUMIFS(Product!$D$5:$D$24,Product!$C$5:$C$24,Venta!F117)</f>
        <v>0</v>
      </c>
      <c r="H117" s="94"/>
      <c r="I117" s="41">
        <f t="shared" si="2"/>
        <v>0</v>
      </c>
      <c r="J117" s="116"/>
    </row>
    <row r="118" spans="2:10" ht="15.75" customHeight="1" x14ac:dyDescent="0.3">
      <c r="B118" s="21"/>
      <c r="C118" s="56"/>
      <c r="D118" s="6"/>
      <c r="E118" s="6"/>
      <c r="F118" s="6"/>
      <c r="G118" s="40">
        <f>SUMIFS(Product!$D$5:$D$24,Product!$C$5:$C$24,Venta!F118)</f>
        <v>0</v>
      </c>
      <c r="H118" s="94"/>
      <c r="I118" s="41">
        <f t="shared" si="2"/>
        <v>0</v>
      </c>
      <c r="J118" s="116"/>
    </row>
    <row r="119" spans="2:10" ht="15.75" customHeight="1" x14ac:dyDescent="0.3">
      <c r="B119" s="21"/>
      <c r="C119" s="56"/>
      <c r="D119" s="6"/>
      <c r="E119" s="6"/>
      <c r="F119" s="6"/>
      <c r="G119" s="40">
        <f>SUMIFS(Product!$D$5:$D$24,Product!$C$5:$C$24,Venta!F119)</f>
        <v>0</v>
      </c>
      <c r="H119" s="94"/>
      <c r="I119" s="41">
        <f t="shared" si="2"/>
        <v>0</v>
      </c>
      <c r="J119" s="116"/>
    </row>
    <row r="120" spans="2:10" ht="15.75" customHeight="1" x14ac:dyDescent="0.3">
      <c r="B120" s="21"/>
      <c r="C120" s="56"/>
      <c r="D120" s="6"/>
      <c r="E120" s="6"/>
      <c r="F120" s="6"/>
      <c r="G120" s="40">
        <f>SUMIFS(Product!$D$5:$D$24,Product!$C$5:$C$24,Venta!F120)</f>
        <v>0</v>
      </c>
      <c r="H120" s="94"/>
      <c r="I120" s="41">
        <f t="shared" si="2"/>
        <v>0</v>
      </c>
      <c r="J120" s="116"/>
    </row>
    <row r="121" spans="2:10" ht="15.75" customHeight="1" x14ac:dyDescent="0.3">
      <c r="B121" s="21"/>
      <c r="C121" s="56"/>
      <c r="D121" s="6"/>
      <c r="E121" s="6"/>
      <c r="F121" s="6"/>
      <c r="G121" s="40">
        <f>SUMIFS(Product!$D$5:$D$24,Product!$C$5:$C$24,Venta!F121)</f>
        <v>0</v>
      </c>
      <c r="H121" s="94"/>
      <c r="I121" s="41">
        <f t="shared" si="2"/>
        <v>0</v>
      </c>
      <c r="J121" s="116"/>
    </row>
    <row r="122" spans="2:10" ht="15.75" customHeight="1" x14ac:dyDescent="0.3">
      <c r="B122" s="21"/>
      <c r="C122" s="56"/>
      <c r="D122" s="6"/>
      <c r="E122" s="6"/>
      <c r="F122" s="6"/>
      <c r="G122" s="40">
        <f>SUMIFS(Product!$D$5:$D$24,Product!$C$5:$C$24,Venta!F122)</f>
        <v>0</v>
      </c>
      <c r="H122" s="94"/>
      <c r="I122" s="41">
        <f t="shared" si="2"/>
        <v>0</v>
      </c>
      <c r="J122" s="116"/>
    </row>
    <row r="123" spans="2:10" ht="15.75" customHeight="1" x14ac:dyDescent="0.3">
      <c r="B123" s="21"/>
      <c r="C123" s="56"/>
      <c r="D123" s="6"/>
      <c r="E123" s="6"/>
      <c r="F123" s="6"/>
      <c r="G123" s="40">
        <f>SUMIFS(Product!$D$5:$D$24,Product!$C$5:$C$24,Venta!F123)</f>
        <v>0</v>
      </c>
      <c r="H123" s="94"/>
      <c r="I123" s="41">
        <f t="shared" si="2"/>
        <v>0</v>
      </c>
      <c r="J123" s="116"/>
    </row>
    <row r="124" spans="2:10" ht="15.75" customHeight="1" x14ac:dyDescent="0.3">
      <c r="B124" s="21"/>
      <c r="C124" s="56"/>
      <c r="D124" s="6"/>
      <c r="E124" s="6"/>
      <c r="F124" s="6"/>
      <c r="G124" s="40">
        <f>SUMIFS(Product!$D$5:$D$24,Product!$C$5:$C$24,Venta!F124)</f>
        <v>0</v>
      </c>
      <c r="H124" s="94"/>
      <c r="I124" s="41">
        <f t="shared" si="2"/>
        <v>0</v>
      </c>
      <c r="J124" s="116"/>
    </row>
    <row r="125" spans="2:10" ht="15.75" customHeight="1" x14ac:dyDescent="0.3">
      <c r="B125" s="21"/>
      <c r="C125" s="56"/>
      <c r="D125" s="6"/>
      <c r="E125" s="6"/>
      <c r="F125" s="6"/>
      <c r="G125" s="40">
        <f>SUMIFS(Product!$D$5:$D$24,Product!$C$5:$C$24,Venta!F125)</f>
        <v>0</v>
      </c>
      <c r="H125" s="94"/>
      <c r="I125" s="41">
        <f t="shared" si="2"/>
        <v>0</v>
      </c>
      <c r="J125" s="116"/>
    </row>
    <row r="126" spans="2:10" ht="15.75" customHeight="1" x14ac:dyDescent="0.3">
      <c r="B126" s="21"/>
      <c r="C126" s="56"/>
      <c r="D126" s="6"/>
      <c r="E126" s="6"/>
      <c r="F126" s="6"/>
      <c r="G126" s="40">
        <f>SUMIFS(Product!$D$5:$D$24,Product!$C$5:$C$24,Venta!F126)</f>
        <v>0</v>
      </c>
      <c r="H126" s="94"/>
      <c r="I126" s="41">
        <f t="shared" si="2"/>
        <v>0</v>
      </c>
      <c r="J126" s="116"/>
    </row>
    <row r="127" spans="2:10" ht="15.75" customHeight="1" x14ac:dyDescent="0.3">
      <c r="B127" s="21"/>
      <c r="C127" s="56"/>
      <c r="D127" s="6"/>
      <c r="E127" s="6"/>
      <c r="F127" s="6"/>
      <c r="G127" s="40">
        <f>SUMIFS(Product!$D$5:$D$24,Product!$C$5:$C$24,Venta!F127)</f>
        <v>0</v>
      </c>
      <c r="H127" s="94"/>
      <c r="I127" s="41">
        <f t="shared" si="2"/>
        <v>0</v>
      </c>
      <c r="J127" s="116"/>
    </row>
    <row r="128" spans="2:10" ht="15.75" customHeight="1" x14ac:dyDescent="0.3">
      <c r="B128" s="21"/>
      <c r="C128" s="56"/>
      <c r="D128" s="6"/>
      <c r="E128" s="6"/>
      <c r="F128" s="6"/>
      <c r="G128" s="40">
        <f>SUMIFS(Product!$D$5:$D$24,Product!$C$5:$C$24,Venta!F128)</f>
        <v>0</v>
      </c>
      <c r="H128" s="94"/>
      <c r="I128" s="41">
        <f t="shared" si="2"/>
        <v>0</v>
      </c>
      <c r="J128" s="116"/>
    </row>
    <row r="129" spans="2:10" ht="15.75" customHeight="1" x14ac:dyDescent="0.3">
      <c r="B129" s="21"/>
      <c r="C129" s="56"/>
      <c r="D129" s="6"/>
      <c r="E129" s="6"/>
      <c r="F129" s="6"/>
      <c r="G129" s="40">
        <f>SUMIFS(Product!$D$5:$D$24,Product!$C$5:$C$24,Venta!F129)</f>
        <v>0</v>
      </c>
      <c r="H129" s="94"/>
      <c r="I129" s="41">
        <f t="shared" si="2"/>
        <v>0</v>
      </c>
      <c r="J129" s="116"/>
    </row>
    <row r="130" spans="2:10" ht="15.75" customHeight="1" x14ac:dyDescent="0.3">
      <c r="B130" s="21"/>
      <c r="C130" s="56"/>
      <c r="D130" s="6"/>
      <c r="E130" s="6"/>
      <c r="F130" s="6"/>
      <c r="G130" s="40">
        <f>SUMIFS(Product!$D$5:$D$24,Product!$C$5:$C$24,Venta!F130)</f>
        <v>0</v>
      </c>
      <c r="H130" s="94"/>
      <c r="I130" s="41">
        <f t="shared" si="2"/>
        <v>0</v>
      </c>
      <c r="J130" s="116"/>
    </row>
    <row r="131" spans="2:10" ht="15.75" customHeight="1" x14ac:dyDescent="0.3">
      <c r="B131" s="21"/>
      <c r="C131" s="56"/>
      <c r="D131" s="6"/>
      <c r="E131" s="6"/>
      <c r="F131" s="6"/>
      <c r="G131" s="40">
        <f>SUMIFS(Product!$D$5:$D$24,Product!$C$5:$C$24,Venta!F131)</f>
        <v>0</v>
      </c>
      <c r="H131" s="94"/>
      <c r="I131" s="41">
        <f t="shared" ref="I131:I194" si="6">G131*H131</f>
        <v>0</v>
      </c>
      <c r="J131" s="116"/>
    </row>
    <row r="132" spans="2:10" ht="15.75" customHeight="1" x14ac:dyDescent="0.3">
      <c r="B132" s="21"/>
      <c r="C132" s="56"/>
      <c r="D132" s="6"/>
      <c r="E132" s="6"/>
      <c r="F132" s="6"/>
      <c r="G132" s="40">
        <f>SUMIFS(Product!$D$5:$D$24,Product!$C$5:$C$24,Venta!F132)</f>
        <v>0</v>
      </c>
      <c r="H132" s="94"/>
      <c r="I132" s="41">
        <f t="shared" si="6"/>
        <v>0</v>
      </c>
      <c r="J132" s="116"/>
    </row>
    <row r="133" spans="2:10" ht="15.75" customHeight="1" x14ac:dyDescent="0.3">
      <c r="B133" s="21"/>
      <c r="C133" s="56"/>
      <c r="D133" s="6"/>
      <c r="E133" s="6"/>
      <c r="F133" s="6"/>
      <c r="G133" s="40">
        <f>SUMIFS(Product!$D$5:$D$24,Product!$C$5:$C$24,Venta!F133)</f>
        <v>0</v>
      </c>
      <c r="H133" s="94"/>
      <c r="I133" s="41">
        <f t="shared" si="6"/>
        <v>0</v>
      </c>
      <c r="J133" s="116"/>
    </row>
    <row r="134" spans="2:10" ht="15.75" customHeight="1" x14ac:dyDescent="0.3">
      <c r="B134" s="21"/>
      <c r="C134" s="56"/>
      <c r="D134" s="6"/>
      <c r="E134" s="6"/>
      <c r="F134" s="6"/>
      <c r="G134" s="40">
        <f>SUMIFS(Product!$D$5:$D$24,Product!$C$5:$C$24,Venta!F134)</f>
        <v>0</v>
      </c>
      <c r="H134" s="94"/>
      <c r="I134" s="41">
        <f t="shared" si="6"/>
        <v>0</v>
      </c>
      <c r="J134" s="116"/>
    </row>
    <row r="135" spans="2:10" ht="15.75" customHeight="1" x14ac:dyDescent="0.3">
      <c r="B135" s="21"/>
      <c r="C135" s="56"/>
      <c r="D135" s="6"/>
      <c r="E135" s="6"/>
      <c r="F135" s="6"/>
      <c r="G135" s="40">
        <f>SUMIFS(Product!$D$5:$D$24,Product!$C$5:$C$24,Venta!F135)</f>
        <v>0</v>
      </c>
      <c r="H135" s="94"/>
      <c r="I135" s="41">
        <f t="shared" si="6"/>
        <v>0</v>
      </c>
      <c r="J135" s="116"/>
    </row>
    <row r="136" spans="2:10" ht="15.75" customHeight="1" x14ac:dyDescent="0.3">
      <c r="B136" s="21"/>
      <c r="C136" s="56"/>
      <c r="D136" s="6"/>
      <c r="E136" s="6"/>
      <c r="F136" s="6"/>
      <c r="G136" s="40">
        <f>SUMIFS(Product!$D$5:$D$24,Product!$C$5:$C$24,Venta!F136)</f>
        <v>0</v>
      </c>
      <c r="H136" s="94"/>
      <c r="I136" s="41">
        <f t="shared" si="6"/>
        <v>0</v>
      </c>
      <c r="J136" s="116"/>
    </row>
    <row r="137" spans="2:10" ht="15.75" customHeight="1" x14ac:dyDescent="0.3">
      <c r="B137" s="21"/>
      <c r="C137" s="56"/>
      <c r="D137" s="6"/>
      <c r="E137" s="6"/>
      <c r="F137" s="6"/>
      <c r="G137" s="40">
        <f>SUMIFS(Product!$D$5:$D$24,Product!$C$5:$C$24,Venta!F137)</f>
        <v>0</v>
      </c>
      <c r="H137" s="94"/>
      <c r="I137" s="41">
        <f t="shared" si="6"/>
        <v>0</v>
      </c>
      <c r="J137" s="116"/>
    </row>
    <row r="138" spans="2:10" ht="15.75" customHeight="1" x14ac:dyDescent="0.3">
      <c r="B138" s="21"/>
      <c r="C138" s="56"/>
      <c r="D138" s="6"/>
      <c r="E138" s="6"/>
      <c r="F138" s="6"/>
      <c r="G138" s="40">
        <f>SUMIFS(Product!$D$5:$D$24,Product!$C$5:$C$24,Venta!F138)</f>
        <v>0</v>
      </c>
      <c r="H138" s="94"/>
      <c r="I138" s="41">
        <f t="shared" si="6"/>
        <v>0</v>
      </c>
      <c r="J138" s="116"/>
    </row>
    <row r="139" spans="2:10" ht="15.75" customHeight="1" x14ac:dyDescent="0.3">
      <c r="B139" s="21"/>
      <c r="C139" s="56"/>
      <c r="D139" s="6"/>
      <c r="E139" s="6"/>
      <c r="F139" s="6"/>
      <c r="G139" s="40">
        <f>SUMIFS(Product!$D$5:$D$24,Product!$C$5:$C$24,Venta!F139)</f>
        <v>0</v>
      </c>
      <c r="H139" s="94"/>
      <c r="I139" s="41">
        <f t="shared" si="6"/>
        <v>0</v>
      </c>
      <c r="J139" s="116"/>
    </row>
    <row r="140" spans="2:10" ht="15.75" customHeight="1" x14ac:dyDescent="0.3">
      <c r="B140" s="21"/>
      <c r="C140" s="56"/>
      <c r="D140" s="6"/>
      <c r="E140" s="6"/>
      <c r="F140" s="6"/>
      <c r="G140" s="40">
        <f>SUMIFS(Product!$D$5:$D$24,Product!$C$5:$C$24,Venta!F140)</f>
        <v>0</v>
      </c>
      <c r="H140" s="94"/>
      <c r="I140" s="41">
        <f t="shared" si="6"/>
        <v>0</v>
      </c>
      <c r="J140" s="116"/>
    </row>
    <row r="141" spans="2:10" ht="15.75" customHeight="1" x14ac:dyDescent="0.3">
      <c r="B141" s="21"/>
      <c r="C141" s="56"/>
      <c r="D141" s="6"/>
      <c r="E141" s="6"/>
      <c r="F141" s="6"/>
      <c r="G141" s="40">
        <f>SUMIFS(Product!$D$5:$D$24,Product!$C$5:$C$24,Venta!F141)</f>
        <v>0</v>
      </c>
      <c r="H141" s="94"/>
      <c r="I141" s="41">
        <f t="shared" si="6"/>
        <v>0</v>
      </c>
      <c r="J141" s="116"/>
    </row>
    <row r="142" spans="2:10" ht="15.75" customHeight="1" x14ac:dyDescent="0.3">
      <c r="B142" s="21"/>
      <c r="C142" s="56"/>
      <c r="D142" s="6"/>
      <c r="E142" s="6"/>
      <c r="F142" s="6"/>
      <c r="G142" s="40">
        <f>SUMIFS(Product!$D$5:$D$24,Product!$C$5:$C$24,Venta!F142)</f>
        <v>0</v>
      </c>
      <c r="H142" s="94"/>
      <c r="I142" s="41">
        <f t="shared" si="6"/>
        <v>0</v>
      </c>
      <c r="J142" s="116"/>
    </row>
    <row r="143" spans="2:10" ht="15.75" customHeight="1" x14ac:dyDescent="0.3">
      <c r="B143" s="21"/>
      <c r="C143" s="56"/>
      <c r="D143" s="6"/>
      <c r="E143" s="6"/>
      <c r="F143" s="6"/>
      <c r="G143" s="40">
        <f>SUMIFS(Product!$D$5:$D$24,Product!$C$5:$C$24,Venta!F143)</f>
        <v>0</v>
      </c>
      <c r="H143" s="94"/>
      <c r="I143" s="41">
        <f t="shared" si="6"/>
        <v>0</v>
      </c>
      <c r="J143" s="116"/>
    </row>
    <row r="144" spans="2:10" ht="15.75" customHeight="1" x14ac:dyDescent="0.3">
      <c r="B144" s="21"/>
      <c r="C144" s="56"/>
      <c r="D144" s="6"/>
      <c r="E144" s="6"/>
      <c r="F144" s="6"/>
      <c r="G144" s="40">
        <f>SUMIFS(Product!$D$5:$D$24,Product!$C$5:$C$24,Venta!F144)</f>
        <v>0</v>
      </c>
      <c r="H144" s="94"/>
      <c r="I144" s="41">
        <f t="shared" si="6"/>
        <v>0</v>
      </c>
      <c r="J144" s="116"/>
    </row>
    <row r="145" spans="2:10" ht="15.75" customHeight="1" x14ac:dyDescent="0.3">
      <c r="B145" s="21"/>
      <c r="C145" s="56"/>
      <c r="D145" s="6"/>
      <c r="E145" s="6"/>
      <c r="F145" s="6"/>
      <c r="G145" s="40">
        <f>SUMIFS(Product!$D$5:$D$24,Product!$C$5:$C$24,Venta!F145)</f>
        <v>0</v>
      </c>
      <c r="H145" s="94"/>
      <c r="I145" s="41">
        <f t="shared" si="6"/>
        <v>0</v>
      </c>
      <c r="J145" s="116"/>
    </row>
    <row r="146" spans="2:10" ht="15.75" customHeight="1" x14ac:dyDescent="0.3">
      <c r="B146" s="21"/>
      <c r="C146" s="56"/>
      <c r="D146" s="6"/>
      <c r="E146" s="6"/>
      <c r="F146" s="6"/>
      <c r="G146" s="40">
        <f>SUMIFS(Product!$D$5:$D$24,Product!$C$5:$C$24,Venta!F146)</f>
        <v>0</v>
      </c>
      <c r="H146" s="94"/>
      <c r="I146" s="41">
        <f t="shared" si="6"/>
        <v>0</v>
      </c>
      <c r="J146" s="116"/>
    </row>
    <row r="147" spans="2:10" ht="15.75" customHeight="1" x14ac:dyDescent="0.3">
      <c r="B147" s="21"/>
      <c r="C147" s="56"/>
      <c r="D147" s="6"/>
      <c r="E147" s="6"/>
      <c r="F147" s="6"/>
      <c r="G147" s="40">
        <f>SUMIFS(Product!$D$5:$D$24,Product!$C$5:$C$24,Venta!F147)</f>
        <v>0</v>
      </c>
      <c r="H147" s="94"/>
      <c r="I147" s="41">
        <f t="shared" si="6"/>
        <v>0</v>
      </c>
      <c r="J147" s="116"/>
    </row>
    <row r="148" spans="2:10" ht="15.75" customHeight="1" x14ac:dyDescent="0.3">
      <c r="B148" s="21"/>
      <c r="C148" s="56"/>
      <c r="D148" s="6"/>
      <c r="E148" s="6"/>
      <c r="F148" s="6"/>
      <c r="G148" s="40">
        <f>SUMIFS(Product!$D$5:$D$24,Product!$C$5:$C$24,Venta!F148)</f>
        <v>0</v>
      </c>
      <c r="H148" s="94"/>
      <c r="I148" s="41">
        <f t="shared" si="6"/>
        <v>0</v>
      </c>
      <c r="J148" s="116"/>
    </row>
    <row r="149" spans="2:10" ht="15.75" customHeight="1" x14ac:dyDescent="0.3">
      <c r="B149" s="21"/>
      <c r="C149" s="56"/>
      <c r="D149" s="6"/>
      <c r="E149" s="6"/>
      <c r="F149" s="6"/>
      <c r="G149" s="40">
        <f>SUMIFS(Product!$D$5:$D$24,Product!$C$5:$C$24,Venta!F149)</f>
        <v>0</v>
      </c>
      <c r="H149" s="94"/>
      <c r="I149" s="41">
        <f t="shared" si="6"/>
        <v>0</v>
      </c>
      <c r="J149" s="116"/>
    </row>
    <row r="150" spans="2:10" ht="15.75" customHeight="1" x14ac:dyDescent="0.3">
      <c r="B150" s="21"/>
      <c r="C150" s="56"/>
      <c r="D150" s="6"/>
      <c r="E150" s="6"/>
      <c r="F150" s="6"/>
      <c r="G150" s="40">
        <f>SUMIFS(Product!$D$5:$D$24,Product!$C$5:$C$24,Venta!F150)</f>
        <v>0</v>
      </c>
      <c r="H150" s="94"/>
      <c r="I150" s="41">
        <f t="shared" si="6"/>
        <v>0</v>
      </c>
      <c r="J150" s="116"/>
    </row>
    <row r="151" spans="2:10" ht="15.75" customHeight="1" x14ac:dyDescent="0.3">
      <c r="B151" s="21"/>
      <c r="C151" s="56"/>
      <c r="D151" s="6"/>
      <c r="E151" s="6"/>
      <c r="F151" s="6"/>
      <c r="G151" s="40">
        <f>SUMIFS(Product!$D$5:$D$24,Product!$C$5:$C$24,Venta!F151)</f>
        <v>0</v>
      </c>
      <c r="H151" s="94"/>
      <c r="I151" s="41">
        <f t="shared" si="6"/>
        <v>0</v>
      </c>
      <c r="J151" s="116"/>
    </row>
    <row r="152" spans="2:10" ht="15.75" customHeight="1" x14ac:dyDescent="0.3">
      <c r="B152" s="21"/>
      <c r="C152" s="56"/>
      <c r="D152" s="6"/>
      <c r="E152" s="6"/>
      <c r="F152" s="6"/>
      <c r="G152" s="40">
        <f>SUMIFS(Product!$D$5:$D$24,Product!$C$5:$C$24,Venta!F152)</f>
        <v>0</v>
      </c>
      <c r="H152" s="94"/>
      <c r="I152" s="41">
        <f t="shared" si="6"/>
        <v>0</v>
      </c>
      <c r="J152" s="116"/>
    </row>
    <row r="153" spans="2:10" ht="15.75" customHeight="1" x14ac:dyDescent="0.3">
      <c r="B153" s="21"/>
      <c r="C153" s="56"/>
      <c r="D153" s="6"/>
      <c r="E153" s="6"/>
      <c r="F153" s="6"/>
      <c r="G153" s="40">
        <f>SUMIFS(Product!$D$5:$D$24,Product!$C$5:$C$24,Venta!F153)</f>
        <v>0</v>
      </c>
      <c r="H153" s="94"/>
      <c r="I153" s="41">
        <f t="shared" si="6"/>
        <v>0</v>
      </c>
      <c r="J153" s="116"/>
    </row>
    <row r="154" spans="2:10" ht="15.75" customHeight="1" x14ac:dyDescent="0.3">
      <c r="B154" s="21"/>
      <c r="C154" s="56"/>
      <c r="D154" s="6"/>
      <c r="E154" s="6"/>
      <c r="F154" s="6"/>
      <c r="G154" s="40">
        <f>SUMIFS(Product!$D$5:$D$24,Product!$C$5:$C$24,Venta!F154)</f>
        <v>0</v>
      </c>
      <c r="H154" s="94"/>
      <c r="I154" s="41">
        <f t="shared" si="6"/>
        <v>0</v>
      </c>
      <c r="J154" s="116"/>
    </row>
    <row r="155" spans="2:10" ht="15.75" customHeight="1" x14ac:dyDescent="0.3">
      <c r="B155" s="21"/>
      <c r="C155" s="56"/>
      <c r="D155" s="6"/>
      <c r="E155" s="6"/>
      <c r="F155" s="6"/>
      <c r="G155" s="40">
        <f>SUMIFS(Product!$D$5:$D$24,Product!$C$5:$C$24,Venta!F155)</f>
        <v>0</v>
      </c>
      <c r="H155" s="94"/>
      <c r="I155" s="41">
        <f t="shared" si="6"/>
        <v>0</v>
      </c>
      <c r="J155" s="116"/>
    </row>
    <row r="156" spans="2:10" ht="15.75" customHeight="1" x14ac:dyDescent="0.3">
      <c r="B156" s="21"/>
      <c r="C156" s="56"/>
      <c r="D156" s="6"/>
      <c r="E156" s="6"/>
      <c r="F156" s="6"/>
      <c r="G156" s="40">
        <f>SUMIFS(Product!$D$5:$D$24,Product!$C$5:$C$24,Venta!F156)</f>
        <v>0</v>
      </c>
      <c r="H156" s="94"/>
      <c r="I156" s="41">
        <f t="shared" si="6"/>
        <v>0</v>
      </c>
      <c r="J156" s="116"/>
    </row>
    <row r="157" spans="2:10" ht="15.75" customHeight="1" x14ac:dyDescent="0.3">
      <c r="B157" s="21"/>
      <c r="C157" s="56"/>
      <c r="D157" s="6"/>
      <c r="E157" s="6"/>
      <c r="F157" s="6"/>
      <c r="G157" s="40">
        <f>SUMIFS(Product!$D$5:$D$24,Product!$C$5:$C$24,Venta!F157)</f>
        <v>0</v>
      </c>
      <c r="H157" s="94"/>
      <c r="I157" s="41">
        <f t="shared" si="6"/>
        <v>0</v>
      </c>
      <c r="J157" s="116"/>
    </row>
    <row r="158" spans="2:10" ht="15.75" customHeight="1" x14ac:dyDescent="0.3">
      <c r="B158" s="21"/>
      <c r="C158" s="56"/>
      <c r="D158" s="6"/>
      <c r="E158" s="6"/>
      <c r="F158" s="6"/>
      <c r="G158" s="40">
        <f>SUMIFS(Product!$D$5:$D$24,Product!$C$5:$C$24,Venta!F158)</f>
        <v>0</v>
      </c>
      <c r="H158" s="94"/>
      <c r="I158" s="41">
        <f t="shared" si="6"/>
        <v>0</v>
      </c>
      <c r="J158" s="116"/>
    </row>
    <row r="159" spans="2:10" ht="15.75" customHeight="1" x14ac:dyDescent="0.3">
      <c r="B159" s="21"/>
      <c r="C159" s="56"/>
      <c r="D159" s="6"/>
      <c r="E159" s="6"/>
      <c r="F159" s="6"/>
      <c r="G159" s="40">
        <f>SUMIFS(Product!$D$5:$D$24,Product!$C$5:$C$24,Venta!F159)</f>
        <v>0</v>
      </c>
      <c r="H159" s="94"/>
      <c r="I159" s="41">
        <f t="shared" si="6"/>
        <v>0</v>
      </c>
      <c r="J159" s="116"/>
    </row>
    <row r="160" spans="2:10" ht="15.75" customHeight="1" x14ac:dyDescent="0.3">
      <c r="B160" s="21"/>
      <c r="C160" s="56"/>
      <c r="D160" s="6"/>
      <c r="E160" s="6"/>
      <c r="F160" s="6"/>
      <c r="G160" s="40">
        <f>SUMIFS(Product!$D$5:$D$24,Product!$C$5:$C$24,Venta!F160)</f>
        <v>0</v>
      </c>
      <c r="H160" s="94"/>
      <c r="I160" s="41">
        <f t="shared" si="6"/>
        <v>0</v>
      </c>
      <c r="J160" s="116"/>
    </row>
    <row r="161" spans="2:10" ht="15.75" customHeight="1" x14ac:dyDescent="0.3">
      <c r="B161" s="21"/>
      <c r="C161" s="56"/>
      <c r="D161" s="6"/>
      <c r="E161" s="6"/>
      <c r="F161" s="6"/>
      <c r="G161" s="40">
        <f>SUMIFS(Product!$D$5:$D$24,Product!$C$5:$C$24,Venta!F161)</f>
        <v>0</v>
      </c>
      <c r="H161" s="94"/>
      <c r="I161" s="41">
        <f t="shared" si="6"/>
        <v>0</v>
      </c>
      <c r="J161" s="116"/>
    </row>
    <row r="162" spans="2:10" ht="15.75" customHeight="1" x14ac:dyDescent="0.3">
      <c r="B162" s="21"/>
      <c r="C162" s="56"/>
      <c r="D162" s="6"/>
      <c r="E162" s="6"/>
      <c r="F162" s="6"/>
      <c r="G162" s="40">
        <f>SUMIFS(Product!$D$5:$D$24,Product!$C$5:$C$24,Venta!F162)</f>
        <v>0</v>
      </c>
      <c r="H162" s="94"/>
      <c r="I162" s="41">
        <f t="shared" si="6"/>
        <v>0</v>
      </c>
      <c r="J162" s="116"/>
    </row>
    <row r="163" spans="2:10" ht="15.75" customHeight="1" x14ac:dyDescent="0.3">
      <c r="B163" s="21"/>
      <c r="C163" s="56"/>
      <c r="D163" s="6"/>
      <c r="E163" s="6"/>
      <c r="F163" s="6"/>
      <c r="G163" s="40">
        <f>SUMIFS(Product!$D$5:$D$24,Product!$C$5:$C$24,Venta!F163)</f>
        <v>0</v>
      </c>
      <c r="H163" s="94"/>
      <c r="I163" s="41">
        <f t="shared" si="6"/>
        <v>0</v>
      </c>
      <c r="J163" s="116"/>
    </row>
    <row r="164" spans="2:10" ht="15.75" customHeight="1" x14ac:dyDescent="0.3">
      <c r="B164" s="21"/>
      <c r="C164" s="56"/>
      <c r="D164" s="6"/>
      <c r="E164" s="6"/>
      <c r="F164" s="6"/>
      <c r="G164" s="40">
        <f>SUMIFS(Product!$D$5:$D$24,Product!$C$5:$C$24,Venta!F164)</f>
        <v>0</v>
      </c>
      <c r="H164" s="94"/>
      <c r="I164" s="41">
        <f t="shared" si="6"/>
        <v>0</v>
      </c>
      <c r="J164" s="116"/>
    </row>
    <row r="165" spans="2:10" ht="15.75" customHeight="1" x14ac:dyDescent="0.3">
      <c r="B165" s="21"/>
      <c r="C165" s="56"/>
      <c r="D165" s="6"/>
      <c r="E165" s="6"/>
      <c r="F165" s="6"/>
      <c r="G165" s="40">
        <f>SUMIFS(Product!$D$5:$D$24,Product!$C$5:$C$24,Venta!F165)</f>
        <v>0</v>
      </c>
      <c r="H165" s="94"/>
      <c r="I165" s="41">
        <f t="shared" si="6"/>
        <v>0</v>
      </c>
      <c r="J165" s="116"/>
    </row>
    <row r="166" spans="2:10" ht="15.75" customHeight="1" x14ac:dyDescent="0.3">
      <c r="B166" s="21"/>
      <c r="C166" s="56"/>
      <c r="D166" s="6"/>
      <c r="E166" s="6"/>
      <c r="F166" s="6"/>
      <c r="G166" s="40">
        <f>SUMIFS(Product!$D$5:$D$24,Product!$C$5:$C$24,Venta!F166)</f>
        <v>0</v>
      </c>
      <c r="H166" s="94"/>
      <c r="I166" s="41">
        <f t="shared" si="6"/>
        <v>0</v>
      </c>
      <c r="J166" s="116"/>
    </row>
    <row r="167" spans="2:10" ht="15.75" customHeight="1" x14ac:dyDescent="0.3">
      <c r="B167" s="21"/>
      <c r="C167" s="56"/>
      <c r="D167" s="6"/>
      <c r="E167" s="6"/>
      <c r="F167" s="6"/>
      <c r="G167" s="40">
        <f>SUMIFS(Product!$D$5:$D$24,Product!$C$5:$C$24,Venta!F167)</f>
        <v>0</v>
      </c>
      <c r="H167" s="94"/>
      <c r="I167" s="41">
        <f t="shared" si="6"/>
        <v>0</v>
      </c>
      <c r="J167" s="116"/>
    </row>
    <row r="168" spans="2:10" ht="15.75" customHeight="1" x14ac:dyDescent="0.3">
      <c r="B168" s="21"/>
      <c r="C168" s="56"/>
      <c r="D168" s="6"/>
      <c r="E168" s="6"/>
      <c r="F168" s="6"/>
      <c r="G168" s="40">
        <f>SUMIFS(Product!$D$5:$D$24,Product!$C$5:$C$24,Venta!F168)</f>
        <v>0</v>
      </c>
      <c r="H168" s="94"/>
      <c r="I168" s="41">
        <f t="shared" si="6"/>
        <v>0</v>
      </c>
      <c r="J168" s="116"/>
    </row>
    <row r="169" spans="2:10" ht="15.75" customHeight="1" x14ac:dyDescent="0.3">
      <c r="B169" s="21"/>
      <c r="C169" s="56"/>
      <c r="D169" s="6"/>
      <c r="E169" s="6"/>
      <c r="F169" s="6"/>
      <c r="G169" s="40">
        <f>SUMIFS(Product!$D$5:$D$24,Product!$C$5:$C$24,Venta!F169)</f>
        <v>0</v>
      </c>
      <c r="H169" s="94"/>
      <c r="I169" s="41">
        <f t="shared" si="6"/>
        <v>0</v>
      </c>
      <c r="J169" s="116"/>
    </row>
    <row r="170" spans="2:10" ht="15.75" customHeight="1" x14ac:dyDescent="0.3">
      <c r="B170" s="21"/>
      <c r="C170" s="56"/>
      <c r="D170" s="6"/>
      <c r="E170" s="6"/>
      <c r="F170" s="6"/>
      <c r="G170" s="40">
        <f>SUMIFS(Product!$D$5:$D$24,Product!$C$5:$C$24,Venta!F170)</f>
        <v>0</v>
      </c>
      <c r="H170" s="94"/>
      <c r="I170" s="41">
        <f t="shared" si="6"/>
        <v>0</v>
      </c>
      <c r="J170" s="116"/>
    </row>
    <row r="171" spans="2:10" ht="15.75" customHeight="1" x14ac:dyDescent="0.3">
      <c r="B171" s="21"/>
      <c r="C171" s="56"/>
      <c r="D171" s="6"/>
      <c r="E171" s="6"/>
      <c r="F171" s="6"/>
      <c r="G171" s="40">
        <f>SUMIFS(Product!$D$5:$D$24,Product!$C$5:$C$24,Venta!F171)</f>
        <v>0</v>
      </c>
      <c r="H171" s="94"/>
      <c r="I171" s="41">
        <f t="shared" si="6"/>
        <v>0</v>
      </c>
      <c r="J171" s="116"/>
    </row>
    <row r="172" spans="2:10" ht="15.75" customHeight="1" x14ac:dyDescent="0.3">
      <c r="B172" s="21"/>
      <c r="C172" s="56"/>
      <c r="D172" s="6"/>
      <c r="E172" s="6"/>
      <c r="F172" s="6"/>
      <c r="G172" s="40">
        <f>SUMIFS(Product!$D$5:$D$24,Product!$C$5:$C$24,Venta!F172)</f>
        <v>0</v>
      </c>
      <c r="H172" s="94"/>
      <c r="I172" s="41">
        <f t="shared" si="6"/>
        <v>0</v>
      </c>
      <c r="J172" s="116"/>
    </row>
    <row r="173" spans="2:10" ht="15.75" customHeight="1" x14ac:dyDescent="0.3">
      <c r="B173" s="21"/>
      <c r="C173" s="56"/>
      <c r="D173" s="6"/>
      <c r="E173" s="6"/>
      <c r="F173" s="6"/>
      <c r="G173" s="40">
        <f>SUMIFS(Product!$D$5:$D$24,Product!$C$5:$C$24,Venta!F173)</f>
        <v>0</v>
      </c>
      <c r="H173" s="94"/>
      <c r="I173" s="41">
        <f t="shared" si="6"/>
        <v>0</v>
      </c>
      <c r="J173" s="116"/>
    </row>
    <row r="174" spans="2:10" ht="15.75" customHeight="1" x14ac:dyDescent="0.3">
      <c r="B174" s="21"/>
      <c r="C174" s="56"/>
      <c r="D174" s="6"/>
      <c r="E174" s="6"/>
      <c r="F174" s="6"/>
      <c r="G174" s="40">
        <f>SUMIFS(Product!$D$5:$D$24,Product!$C$5:$C$24,Venta!F174)</f>
        <v>0</v>
      </c>
      <c r="H174" s="94"/>
      <c r="I174" s="41">
        <f t="shared" si="6"/>
        <v>0</v>
      </c>
      <c r="J174" s="116"/>
    </row>
    <row r="175" spans="2:10" ht="15.75" customHeight="1" x14ac:dyDescent="0.3">
      <c r="B175" s="21"/>
      <c r="C175" s="56"/>
      <c r="D175" s="6"/>
      <c r="E175" s="6"/>
      <c r="F175" s="6"/>
      <c r="G175" s="40">
        <f>SUMIFS(Product!$D$5:$D$24,Product!$C$5:$C$24,Venta!F175)</f>
        <v>0</v>
      </c>
      <c r="H175" s="94"/>
      <c r="I175" s="41">
        <f t="shared" si="6"/>
        <v>0</v>
      </c>
      <c r="J175" s="116"/>
    </row>
    <row r="176" spans="2:10" ht="15.75" customHeight="1" x14ac:dyDescent="0.3">
      <c r="B176" s="21"/>
      <c r="C176" s="56"/>
      <c r="D176" s="6"/>
      <c r="E176" s="6"/>
      <c r="F176" s="6"/>
      <c r="G176" s="40">
        <f>SUMIFS(Product!$D$5:$D$24,Product!$C$5:$C$24,Venta!F176)</f>
        <v>0</v>
      </c>
      <c r="H176" s="94"/>
      <c r="I176" s="41">
        <f t="shared" si="6"/>
        <v>0</v>
      </c>
      <c r="J176" s="116"/>
    </row>
    <row r="177" spans="2:10" ht="15.75" customHeight="1" x14ac:dyDescent="0.3">
      <c r="B177" s="21"/>
      <c r="C177" s="56"/>
      <c r="D177" s="6"/>
      <c r="E177" s="6"/>
      <c r="F177" s="6"/>
      <c r="G177" s="40">
        <f>SUMIFS(Product!$D$5:$D$24,Product!$C$5:$C$24,Venta!F177)</f>
        <v>0</v>
      </c>
      <c r="H177" s="94"/>
      <c r="I177" s="41">
        <f t="shared" si="6"/>
        <v>0</v>
      </c>
      <c r="J177" s="116"/>
    </row>
    <row r="178" spans="2:10" ht="15.75" customHeight="1" x14ac:dyDescent="0.3">
      <c r="B178" s="21"/>
      <c r="C178" s="56"/>
      <c r="D178" s="6"/>
      <c r="E178" s="6"/>
      <c r="F178" s="6"/>
      <c r="G178" s="40">
        <f>SUMIFS(Product!$D$5:$D$24,Product!$C$5:$C$24,Venta!F178)</f>
        <v>0</v>
      </c>
      <c r="H178" s="94"/>
      <c r="I178" s="41">
        <f t="shared" si="6"/>
        <v>0</v>
      </c>
      <c r="J178" s="116"/>
    </row>
    <row r="179" spans="2:10" ht="15.75" customHeight="1" x14ac:dyDescent="0.3">
      <c r="B179" s="21"/>
      <c r="C179" s="56"/>
      <c r="D179" s="6"/>
      <c r="E179" s="6"/>
      <c r="F179" s="6"/>
      <c r="G179" s="40">
        <f>SUMIFS(Product!$D$5:$D$24,Product!$C$5:$C$24,Venta!F179)</f>
        <v>0</v>
      </c>
      <c r="H179" s="94"/>
      <c r="I179" s="41">
        <f t="shared" si="6"/>
        <v>0</v>
      </c>
      <c r="J179" s="116"/>
    </row>
    <row r="180" spans="2:10" ht="15.75" customHeight="1" x14ac:dyDescent="0.3">
      <c r="B180" s="21"/>
      <c r="C180" s="56"/>
      <c r="D180" s="6"/>
      <c r="E180" s="6"/>
      <c r="F180" s="6"/>
      <c r="G180" s="40">
        <f>SUMIFS(Product!$D$5:$D$24,Product!$C$5:$C$24,Venta!F180)</f>
        <v>0</v>
      </c>
      <c r="H180" s="94"/>
      <c r="I180" s="41">
        <f t="shared" si="6"/>
        <v>0</v>
      </c>
      <c r="J180" s="116"/>
    </row>
    <row r="181" spans="2:10" ht="15.75" customHeight="1" x14ac:dyDescent="0.3">
      <c r="B181" s="21"/>
      <c r="C181" s="56"/>
      <c r="D181" s="6"/>
      <c r="E181" s="6"/>
      <c r="F181" s="6"/>
      <c r="G181" s="40">
        <f>SUMIFS(Product!$D$5:$D$24,Product!$C$5:$C$24,Venta!F181)</f>
        <v>0</v>
      </c>
      <c r="H181" s="94"/>
      <c r="I181" s="41">
        <f t="shared" si="6"/>
        <v>0</v>
      </c>
      <c r="J181" s="116"/>
    </row>
    <row r="182" spans="2:10" ht="15.75" customHeight="1" x14ac:dyDescent="0.3">
      <c r="B182" s="21"/>
      <c r="C182" s="56"/>
      <c r="D182" s="6"/>
      <c r="E182" s="6"/>
      <c r="F182" s="6"/>
      <c r="G182" s="40">
        <f>SUMIFS(Product!$D$5:$D$24,Product!$C$5:$C$24,Venta!F182)</f>
        <v>0</v>
      </c>
      <c r="H182" s="94"/>
      <c r="I182" s="41">
        <f t="shared" si="6"/>
        <v>0</v>
      </c>
      <c r="J182" s="116"/>
    </row>
    <row r="183" spans="2:10" ht="15.75" customHeight="1" x14ac:dyDescent="0.3">
      <c r="B183" s="21"/>
      <c r="C183" s="56"/>
      <c r="D183" s="6"/>
      <c r="E183" s="6"/>
      <c r="F183" s="6"/>
      <c r="G183" s="40">
        <f>SUMIFS(Product!$D$5:$D$24,Product!$C$5:$C$24,Venta!F183)</f>
        <v>0</v>
      </c>
      <c r="H183" s="94"/>
      <c r="I183" s="41">
        <f t="shared" si="6"/>
        <v>0</v>
      </c>
      <c r="J183" s="116"/>
    </row>
    <row r="184" spans="2:10" ht="15.75" customHeight="1" x14ac:dyDescent="0.3">
      <c r="B184" s="21"/>
      <c r="C184" s="56"/>
      <c r="D184" s="6"/>
      <c r="E184" s="6"/>
      <c r="F184" s="6"/>
      <c r="G184" s="40">
        <f>SUMIFS(Product!$D$5:$D$24,Product!$C$5:$C$24,Venta!F184)</f>
        <v>0</v>
      </c>
      <c r="H184" s="94"/>
      <c r="I184" s="41">
        <f t="shared" si="6"/>
        <v>0</v>
      </c>
      <c r="J184" s="116"/>
    </row>
    <row r="185" spans="2:10" ht="15.75" customHeight="1" x14ac:dyDescent="0.3">
      <c r="B185" s="21"/>
      <c r="C185" s="56"/>
      <c r="D185" s="6"/>
      <c r="E185" s="6"/>
      <c r="F185" s="6"/>
      <c r="G185" s="40">
        <f>SUMIFS(Product!$D$5:$D$24,Product!$C$5:$C$24,Venta!F185)</f>
        <v>0</v>
      </c>
      <c r="H185" s="94"/>
      <c r="I185" s="41">
        <f t="shared" si="6"/>
        <v>0</v>
      </c>
      <c r="J185" s="116"/>
    </row>
    <row r="186" spans="2:10" ht="15.75" customHeight="1" x14ac:dyDescent="0.3">
      <c r="B186" s="21"/>
      <c r="C186" s="56"/>
      <c r="D186" s="6"/>
      <c r="E186" s="6"/>
      <c r="F186" s="6"/>
      <c r="G186" s="40">
        <f>SUMIFS(Product!$D$5:$D$24,Product!$C$5:$C$24,Venta!F186)</f>
        <v>0</v>
      </c>
      <c r="H186" s="94"/>
      <c r="I186" s="41">
        <f t="shared" si="6"/>
        <v>0</v>
      </c>
      <c r="J186" s="116"/>
    </row>
    <row r="187" spans="2:10" ht="15.75" customHeight="1" x14ac:dyDescent="0.3">
      <c r="B187" s="21"/>
      <c r="C187" s="56"/>
      <c r="D187" s="6"/>
      <c r="E187" s="6"/>
      <c r="F187" s="6"/>
      <c r="G187" s="40">
        <f>SUMIFS(Product!$D$5:$D$24,Product!$C$5:$C$24,Venta!F187)</f>
        <v>0</v>
      </c>
      <c r="H187" s="94"/>
      <c r="I187" s="41">
        <f t="shared" si="6"/>
        <v>0</v>
      </c>
      <c r="J187" s="116"/>
    </row>
    <row r="188" spans="2:10" ht="15.75" customHeight="1" x14ac:dyDescent="0.3">
      <c r="B188" s="21"/>
      <c r="C188" s="56"/>
      <c r="D188" s="6"/>
      <c r="E188" s="6"/>
      <c r="F188" s="6"/>
      <c r="G188" s="40">
        <f>SUMIFS(Product!$D$5:$D$24,Product!$C$5:$C$24,Venta!F188)</f>
        <v>0</v>
      </c>
      <c r="H188" s="94"/>
      <c r="I188" s="41">
        <f t="shared" si="6"/>
        <v>0</v>
      </c>
      <c r="J188" s="116"/>
    </row>
    <row r="189" spans="2:10" ht="15.75" customHeight="1" x14ac:dyDescent="0.3">
      <c r="B189" s="21"/>
      <c r="C189" s="56"/>
      <c r="D189" s="6"/>
      <c r="E189" s="6"/>
      <c r="F189" s="6"/>
      <c r="G189" s="40">
        <f>SUMIFS(Product!$D$5:$D$24,Product!$C$5:$C$24,Venta!F189)</f>
        <v>0</v>
      </c>
      <c r="H189" s="94"/>
      <c r="I189" s="41">
        <f t="shared" si="6"/>
        <v>0</v>
      </c>
      <c r="J189" s="116"/>
    </row>
    <row r="190" spans="2:10" ht="15.75" customHeight="1" x14ac:dyDescent="0.3">
      <c r="B190" s="21"/>
      <c r="C190" s="56"/>
      <c r="D190" s="6"/>
      <c r="E190" s="6"/>
      <c r="F190" s="6"/>
      <c r="G190" s="40">
        <f>SUMIFS(Product!$D$5:$D$24,Product!$C$5:$C$24,Venta!F190)</f>
        <v>0</v>
      </c>
      <c r="H190" s="94"/>
      <c r="I190" s="41">
        <f t="shared" si="6"/>
        <v>0</v>
      </c>
      <c r="J190" s="116"/>
    </row>
    <row r="191" spans="2:10" ht="15.75" customHeight="1" x14ac:dyDescent="0.3">
      <c r="B191" s="21"/>
      <c r="C191" s="56"/>
      <c r="D191" s="6"/>
      <c r="E191" s="6"/>
      <c r="F191" s="6"/>
      <c r="G191" s="40">
        <f>SUMIFS(Product!$D$5:$D$24,Product!$C$5:$C$24,Venta!F191)</f>
        <v>0</v>
      </c>
      <c r="H191" s="94"/>
      <c r="I191" s="41">
        <f t="shared" si="6"/>
        <v>0</v>
      </c>
      <c r="J191" s="116"/>
    </row>
    <row r="192" spans="2:10" ht="15.75" customHeight="1" x14ac:dyDescent="0.3">
      <c r="B192" s="21"/>
      <c r="C192" s="56"/>
      <c r="D192" s="6"/>
      <c r="E192" s="6"/>
      <c r="F192" s="6"/>
      <c r="G192" s="40">
        <f>SUMIFS(Product!$D$5:$D$24,Product!$C$5:$C$24,Venta!F192)</f>
        <v>0</v>
      </c>
      <c r="H192" s="94"/>
      <c r="I192" s="41">
        <f t="shared" si="6"/>
        <v>0</v>
      </c>
      <c r="J192" s="116"/>
    </row>
    <row r="193" spans="2:10" ht="15.75" customHeight="1" x14ac:dyDescent="0.3">
      <c r="B193" s="21"/>
      <c r="C193" s="56"/>
      <c r="D193" s="6"/>
      <c r="E193" s="6"/>
      <c r="F193" s="6"/>
      <c r="G193" s="40">
        <f>SUMIFS(Product!$D$5:$D$24,Product!$C$5:$C$24,Venta!F193)</f>
        <v>0</v>
      </c>
      <c r="H193" s="94"/>
      <c r="I193" s="41">
        <f t="shared" si="6"/>
        <v>0</v>
      </c>
      <c r="J193" s="116"/>
    </row>
    <row r="194" spans="2:10" ht="15.75" customHeight="1" x14ac:dyDescent="0.3">
      <c r="B194" s="21"/>
      <c r="C194" s="56"/>
      <c r="D194" s="6"/>
      <c r="E194" s="6"/>
      <c r="F194" s="6"/>
      <c r="G194" s="40">
        <f>SUMIFS(Product!$D$5:$D$24,Product!$C$5:$C$24,Venta!F194)</f>
        <v>0</v>
      </c>
      <c r="H194" s="94"/>
      <c r="I194" s="41">
        <f t="shared" si="6"/>
        <v>0</v>
      </c>
      <c r="J194" s="116"/>
    </row>
    <row r="195" spans="2:10" ht="15.75" customHeight="1" x14ac:dyDescent="0.3">
      <c r="B195" s="21"/>
      <c r="C195" s="56"/>
      <c r="D195" s="6"/>
      <c r="E195" s="6"/>
      <c r="F195" s="6"/>
      <c r="G195" s="40">
        <f>SUMIFS(Product!$D$5:$D$24,Product!$C$5:$C$24,Venta!F195)</f>
        <v>0</v>
      </c>
      <c r="H195" s="94"/>
      <c r="I195" s="41">
        <f t="shared" ref="I195:I258" si="7">G195*H195</f>
        <v>0</v>
      </c>
      <c r="J195" s="116"/>
    </row>
    <row r="196" spans="2:10" ht="15.75" customHeight="1" x14ac:dyDescent="0.3">
      <c r="B196" s="21"/>
      <c r="C196" s="56"/>
      <c r="D196" s="6"/>
      <c r="E196" s="6"/>
      <c r="F196" s="6"/>
      <c r="G196" s="40">
        <f>SUMIFS(Product!$D$5:$D$24,Product!$C$5:$C$24,Venta!F196)</f>
        <v>0</v>
      </c>
      <c r="H196" s="94"/>
      <c r="I196" s="41">
        <f t="shared" si="7"/>
        <v>0</v>
      </c>
      <c r="J196" s="116"/>
    </row>
    <row r="197" spans="2:10" ht="15.75" customHeight="1" x14ac:dyDescent="0.3">
      <c r="B197" s="21"/>
      <c r="C197" s="56"/>
      <c r="D197" s="6"/>
      <c r="E197" s="6"/>
      <c r="F197" s="6"/>
      <c r="G197" s="40">
        <f>SUMIFS(Product!$D$5:$D$24,Product!$C$5:$C$24,Venta!F197)</f>
        <v>0</v>
      </c>
      <c r="H197" s="94"/>
      <c r="I197" s="41">
        <f t="shared" si="7"/>
        <v>0</v>
      </c>
      <c r="J197" s="116"/>
    </row>
    <row r="198" spans="2:10" ht="15.75" customHeight="1" x14ac:dyDescent="0.3">
      <c r="B198" s="21"/>
      <c r="C198" s="56"/>
      <c r="D198" s="6"/>
      <c r="E198" s="6"/>
      <c r="F198" s="6"/>
      <c r="G198" s="40">
        <f>SUMIFS(Product!$D$5:$D$24,Product!$C$5:$C$24,Venta!F198)</f>
        <v>0</v>
      </c>
      <c r="H198" s="94"/>
      <c r="I198" s="41">
        <f t="shared" si="7"/>
        <v>0</v>
      </c>
      <c r="J198" s="116"/>
    </row>
    <row r="199" spans="2:10" ht="15.75" customHeight="1" x14ac:dyDescent="0.3">
      <c r="B199" s="21"/>
      <c r="C199" s="56"/>
      <c r="D199" s="6"/>
      <c r="E199" s="6"/>
      <c r="F199" s="6"/>
      <c r="G199" s="40">
        <f>SUMIFS(Product!$D$5:$D$24,Product!$C$5:$C$24,Venta!F199)</f>
        <v>0</v>
      </c>
      <c r="H199" s="94"/>
      <c r="I199" s="41">
        <f t="shared" si="7"/>
        <v>0</v>
      </c>
      <c r="J199" s="116"/>
    </row>
    <row r="200" spans="2:10" ht="15.75" customHeight="1" x14ac:dyDescent="0.3">
      <c r="B200" s="21"/>
      <c r="C200" s="56"/>
      <c r="D200" s="6"/>
      <c r="E200" s="6"/>
      <c r="F200" s="6"/>
      <c r="G200" s="40">
        <f>SUMIFS(Product!$D$5:$D$24,Product!$C$5:$C$24,Venta!F200)</f>
        <v>0</v>
      </c>
      <c r="H200" s="94"/>
      <c r="I200" s="41">
        <f t="shared" si="7"/>
        <v>0</v>
      </c>
      <c r="J200" s="116"/>
    </row>
    <row r="201" spans="2:10" ht="15.75" customHeight="1" x14ac:dyDescent="0.3">
      <c r="B201" s="21"/>
      <c r="C201" s="56"/>
      <c r="D201" s="6"/>
      <c r="E201" s="6"/>
      <c r="F201" s="6"/>
      <c r="G201" s="40">
        <f>SUMIFS(Product!$D$5:$D$24,Product!$C$5:$C$24,Venta!F201)</f>
        <v>0</v>
      </c>
      <c r="H201" s="94"/>
      <c r="I201" s="41">
        <f t="shared" si="7"/>
        <v>0</v>
      </c>
      <c r="J201" s="116"/>
    </row>
    <row r="202" spans="2:10" ht="15.75" customHeight="1" x14ac:dyDescent="0.3">
      <c r="B202" s="21"/>
      <c r="C202" s="56"/>
      <c r="D202" s="6"/>
      <c r="E202" s="6"/>
      <c r="F202" s="6"/>
      <c r="G202" s="40">
        <f>SUMIFS(Product!$D$5:$D$24,Product!$C$5:$C$24,Venta!F202)</f>
        <v>0</v>
      </c>
      <c r="H202" s="94"/>
      <c r="I202" s="41">
        <f t="shared" si="7"/>
        <v>0</v>
      </c>
      <c r="J202" s="116"/>
    </row>
    <row r="203" spans="2:10" ht="15.75" customHeight="1" x14ac:dyDescent="0.3">
      <c r="B203" s="21"/>
      <c r="C203" s="56"/>
      <c r="D203" s="6"/>
      <c r="E203" s="6"/>
      <c r="F203" s="6"/>
      <c r="G203" s="40">
        <f>SUMIFS(Product!$D$5:$D$24,Product!$C$5:$C$24,Venta!F203)</f>
        <v>0</v>
      </c>
      <c r="H203" s="94"/>
      <c r="I203" s="41">
        <f t="shared" si="7"/>
        <v>0</v>
      </c>
      <c r="J203" s="116"/>
    </row>
    <row r="204" spans="2:10" ht="15.75" customHeight="1" x14ac:dyDescent="0.3">
      <c r="B204" s="21"/>
      <c r="C204" s="56"/>
      <c r="D204" s="6"/>
      <c r="E204" s="6"/>
      <c r="F204" s="6"/>
      <c r="G204" s="40">
        <f>SUMIFS(Product!$D$5:$D$24,Product!$C$5:$C$24,Venta!F204)</f>
        <v>0</v>
      </c>
      <c r="H204" s="94"/>
      <c r="I204" s="41">
        <f t="shared" si="7"/>
        <v>0</v>
      </c>
      <c r="J204" s="116"/>
    </row>
    <row r="205" spans="2:10" ht="15.75" customHeight="1" x14ac:dyDescent="0.3">
      <c r="B205" s="21"/>
      <c r="C205" s="56"/>
      <c r="D205" s="6"/>
      <c r="E205" s="6"/>
      <c r="F205" s="6"/>
      <c r="G205" s="40">
        <f>SUMIFS(Product!$D$5:$D$24,Product!$C$5:$C$24,Venta!F205)</f>
        <v>0</v>
      </c>
      <c r="H205" s="94"/>
      <c r="I205" s="41">
        <f t="shared" si="7"/>
        <v>0</v>
      </c>
      <c r="J205" s="116"/>
    </row>
    <row r="206" spans="2:10" ht="15.75" customHeight="1" x14ac:dyDescent="0.3">
      <c r="B206" s="21"/>
      <c r="C206" s="56"/>
      <c r="D206" s="6"/>
      <c r="E206" s="6"/>
      <c r="F206" s="6"/>
      <c r="G206" s="40">
        <f>SUMIFS(Product!$D$5:$D$24,Product!$C$5:$C$24,Venta!F206)</f>
        <v>0</v>
      </c>
      <c r="H206" s="94"/>
      <c r="I206" s="41">
        <f t="shared" si="7"/>
        <v>0</v>
      </c>
      <c r="J206" s="116"/>
    </row>
    <row r="207" spans="2:10" ht="15.75" customHeight="1" x14ac:dyDescent="0.3">
      <c r="B207" s="21"/>
      <c r="C207" s="56"/>
      <c r="D207" s="6"/>
      <c r="E207" s="6"/>
      <c r="F207" s="6"/>
      <c r="G207" s="40">
        <f>SUMIFS(Product!$D$5:$D$24,Product!$C$5:$C$24,Venta!F207)</f>
        <v>0</v>
      </c>
      <c r="H207" s="94"/>
      <c r="I207" s="41">
        <f t="shared" si="7"/>
        <v>0</v>
      </c>
      <c r="J207" s="116"/>
    </row>
    <row r="208" spans="2:10" ht="15.75" customHeight="1" x14ac:dyDescent="0.3">
      <c r="B208" s="21"/>
      <c r="C208" s="56"/>
      <c r="D208" s="6"/>
      <c r="E208" s="6"/>
      <c r="F208" s="6"/>
      <c r="G208" s="40">
        <f>SUMIFS(Product!$D$5:$D$24,Product!$C$5:$C$24,Venta!F208)</f>
        <v>0</v>
      </c>
      <c r="H208" s="94"/>
      <c r="I208" s="41">
        <f t="shared" si="7"/>
        <v>0</v>
      </c>
      <c r="J208" s="116"/>
    </row>
    <row r="209" spans="2:10" ht="15.75" customHeight="1" x14ac:dyDescent="0.3">
      <c r="B209" s="21"/>
      <c r="C209" s="56"/>
      <c r="D209" s="6"/>
      <c r="E209" s="6"/>
      <c r="F209" s="6"/>
      <c r="G209" s="40">
        <f>SUMIFS(Product!$D$5:$D$24,Product!$C$5:$C$24,Venta!F209)</f>
        <v>0</v>
      </c>
      <c r="H209" s="94"/>
      <c r="I209" s="41">
        <f t="shared" si="7"/>
        <v>0</v>
      </c>
      <c r="J209" s="116"/>
    </row>
    <row r="210" spans="2:10" ht="15.75" customHeight="1" x14ac:dyDescent="0.3">
      <c r="B210" s="21"/>
      <c r="C210" s="56"/>
      <c r="D210" s="6"/>
      <c r="E210" s="6"/>
      <c r="F210" s="6"/>
      <c r="G210" s="40">
        <f>SUMIFS(Product!$D$5:$D$24,Product!$C$5:$C$24,Venta!F210)</f>
        <v>0</v>
      </c>
      <c r="H210" s="94"/>
      <c r="I210" s="41">
        <f t="shared" si="7"/>
        <v>0</v>
      </c>
      <c r="J210" s="116"/>
    </row>
    <row r="211" spans="2:10" ht="15.75" customHeight="1" x14ac:dyDescent="0.3">
      <c r="B211" s="21"/>
      <c r="C211" s="56"/>
      <c r="D211" s="6"/>
      <c r="E211" s="6"/>
      <c r="F211" s="6"/>
      <c r="G211" s="40">
        <f>SUMIFS(Product!$D$5:$D$24,Product!$C$5:$C$24,Venta!F211)</f>
        <v>0</v>
      </c>
      <c r="H211" s="94"/>
      <c r="I211" s="41">
        <f t="shared" si="7"/>
        <v>0</v>
      </c>
      <c r="J211" s="116"/>
    </row>
    <row r="212" spans="2:10" ht="15.75" customHeight="1" x14ac:dyDescent="0.3">
      <c r="B212" s="21"/>
      <c r="C212" s="56"/>
      <c r="D212" s="6"/>
      <c r="E212" s="6"/>
      <c r="F212" s="6"/>
      <c r="G212" s="40">
        <f>SUMIFS(Product!$D$5:$D$24,Product!$C$5:$C$24,Venta!F212)</f>
        <v>0</v>
      </c>
      <c r="H212" s="94"/>
      <c r="I212" s="41">
        <f t="shared" si="7"/>
        <v>0</v>
      </c>
      <c r="J212" s="116"/>
    </row>
    <row r="213" spans="2:10" ht="15.75" customHeight="1" x14ac:dyDescent="0.3">
      <c r="B213" s="21"/>
      <c r="C213" s="56"/>
      <c r="D213" s="6"/>
      <c r="E213" s="6"/>
      <c r="F213" s="6"/>
      <c r="G213" s="40">
        <f>SUMIFS(Product!$D$5:$D$24,Product!$C$5:$C$24,Venta!F213)</f>
        <v>0</v>
      </c>
      <c r="H213" s="94"/>
      <c r="I213" s="41">
        <f t="shared" si="7"/>
        <v>0</v>
      </c>
      <c r="J213" s="116"/>
    </row>
    <row r="214" spans="2:10" ht="15.75" customHeight="1" x14ac:dyDescent="0.3">
      <c r="B214" s="21"/>
      <c r="C214" s="56"/>
      <c r="D214" s="6"/>
      <c r="E214" s="6"/>
      <c r="F214" s="6"/>
      <c r="G214" s="40">
        <f>SUMIFS(Product!$D$5:$D$24,Product!$C$5:$C$24,Venta!F214)</f>
        <v>0</v>
      </c>
      <c r="H214" s="94"/>
      <c r="I214" s="41">
        <f t="shared" si="7"/>
        <v>0</v>
      </c>
      <c r="J214" s="116"/>
    </row>
    <row r="215" spans="2:10" ht="15.75" customHeight="1" x14ac:dyDescent="0.3">
      <c r="B215" s="21"/>
      <c r="C215" s="56"/>
      <c r="D215" s="6"/>
      <c r="E215" s="6"/>
      <c r="F215" s="6"/>
      <c r="G215" s="40">
        <f>SUMIFS(Product!$D$5:$D$24,Product!$C$5:$C$24,Venta!F215)</f>
        <v>0</v>
      </c>
      <c r="H215" s="94"/>
      <c r="I215" s="41">
        <f t="shared" si="7"/>
        <v>0</v>
      </c>
      <c r="J215" s="116"/>
    </row>
    <row r="216" spans="2:10" ht="15.75" customHeight="1" x14ac:dyDescent="0.3">
      <c r="B216" s="21"/>
      <c r="C216" s="56"/>
      <c r="D216" s="6"/>
      <c r="E216" s="6"/>
      <c r="F216" s="6"/>
      <c r="G216" s="40">
        <f>SUMIFS(Product!$D$5:$D$24,Product!$C$5:$C$24,Venta!F216)</f>
        <v>0</v>
      </c>
      <c r="H216" s="94"/>
      <c r="I216" s="41">
        <f t="shared" si="7"/>
        <v>0</v>
      </c>
      <c r="J216" s="116"/>
    </row>
    <row r="217" spans="2:10" ht="15.75" customHeight="1" x14ac:dyDescent="0.3">
      <c r="B217" s="21"/>
      <c r="C217" s="56"/>
      <c r="D217" s="6"/>
      <c r="E217" s="6"/>
      <c r="F217" s="6"/>
      <c r="G217" s="40">
        <f>SUMIFS(Product!$D$5:$D$24,Product!$C$5:$C$24,Venta!F217)</f>
        <v>0</v>
      </c>
      <c r="H217" s="94"/>
      <c r="I217" s="41">
        <f t="shared" si="7"/>
        <v>0</v>
      </c>
      <c r="J217" s="116"/>
    </row>
    <row r="218" spans="2:10" ht="15.75" customHeight="1" x14ac:dyDescent="0.3">
      <c r="B218" s="21"/>
      <c r="C218" s="56"/>
      <c r="D218" s="6"/>
      <c r="E218" s="6"/>
      <c r="F218" s="6"/>
      <c r="G218" s="40">
        <f>SUMIFS(Product!$D$5:$D$24,Product!$C$5:$C$24,Venta!F218)</f>
        <v>0</v>
      </c>
      <c r="H218" s="94"/>
      <c r="I218" s="41">
        <f t="shared" si="7"/>
        <v>0</v>
      </c>
      <c r="J218" s="116"/>
    </row>
    <row r="219" spans="2:10" ht="15.75" customHeight="1" x14ac:dyDescent="0.3">
      <c r="B219" s="21"/>
      <c r="C219" s="56"/>
      <c r="D219" s="6"/>
      <c r="E219" s="6"/>
      <c r="F219" s="6"/>
      <c r="G219" s="40">
        <f>SUMIFS(Product!$D$5:$D$24,Product!$C$5:$C$24,Venta!F219)</f>
        <v>0</v>
      </c>
      <c r="H219" s="94"/>
      <c r="I219" s="41">
        <f t="shared" si="7"/>
        <v>0</v>
      </c>
      <c r="J219" s="116"/>
    </row>
    <row r="220" spans="2:10" ht="15.75" customHeight="1" x14ac:dyDescent="0.3">
      <c r="B220" s="21"/>
      <c r="C220" s="56"/>
      <c r="D220" s="6"/>
      <c r="E220" s="6"/>
      <c r="F220" s="6"/>
      <c r="G220" s="40">
        <f>SUMIFS(Product!$D$5:$D$24,Product!$C$5:$C$24,Venta!F220)</f>
        <v>0</v>
      </c>
      <c r="H220" s="94"/>
      <c r="I220" s="41">
        <f t="shared" si="7"/>
        <v>0</v>
      </c>
      <c r="J220" s="116"/>
    </row>
    <row r="221" spans="2:10" ht="15.75" customHeight="1" x14ac:dyDescent="0.3">
      <c r="B221" s="21"/>
      <c r="C221" s="56"/>
      <c r="D221" s="6"/>
      <c r="E221" s="6"/>
      <c r="F221" s="6"/>
      <c r="G221" s="40">
        <f>SUMIFS(Product!$D$5:$D$24,Product!$C$5:$C$24,Venta!F221)</f>
        <v>0</v>
      </c>
      <c r="H221" s="94"/>
      <c r="I221" s="41">
        <f t="shared" si="7"/>
        <v>0</v>
      </c>
      <c r="J221" s="116"/>
    </row>
    <row r="222" spans="2:10" ht="15.75" customHeight="1" x14ac:dyDescent="0.3">
      <c r="B222" s="21"/>
      <c r="C222" s="56"/>
      <c r="D222" s="6"/>
      <c r="E222" s="6"/>
      <c r="F222" s="6"/>
      <c r="G222" s="40">
        <f>SUMIFS(Product!$D$5:$D$24,Product!$C$5:$C$24,Venta!F222)</f>
        <v>0</v>
      </c>
      <c r="H222" s="94"/>
      <c r="I222" s="41">
        <f t="shared" si="7"/>
        <v>0</v>
      </c>
      <c r="J222" s="116"/>
    </row>
    <row r="223" spans="2:10" ht="15.75" customHeight="1" x14ac:dyDescent="0.3">
      <c r="B223" s="21"/>
      <c r="C223" s="56"/>
      <c r="D223" s="6"/>
      <c r="E223" s="6"/>
      <c r="F223" s="6"/>
      <c r="G223" s="40">
        <f>SUMIFS(Product!$D$5:$D$24,Product!$C$5:$C$24,Venta!F223)</f>
        <v>0</v>
      </c>
      <c r="H223" s="94"/>
      <c r="I223" s="41">
        <f t="shared" si="7"/>
        <v>0</v>
      </c>
      <c r="J223" s="116"/>
    </row>
    <row r="224" spans="2:10" ht="15.75" customHeight="1" x14ac:dyDescent="0.3">
      <c r="B224" s="21"/>
      <c r="C224" s="56"/>
      <c r="D224" s="6"/>
      <c r="E224" s="6"/>
      <c r="F224" s="6"/>
      <c r="G224" s="40">
        <f>SUMIFS(Product!$D$5:$D$24,Product!$C$5:$C$24,Venta!F224)</f>
        <v>0</v>
      </c>
      <c r="H224" s="94"/>
      <c r="I224" s="41">
        <f t="shared" si="7"/>
        <v>0</v>
      </c>
      <c r="J224" s="116"/>
    </row>
    <row r="225" spans="2:10" ht="15.75" customHeight="1" x14ac:dyDescent="0.3">
      <c r="B225" s="21"/>
      <c r="C225" s="56"/>
      <c r="D225" s="6"/>
      <c r="E225" s="6"/>
      <c r="F225" s="6"/>
      <c r="G225" s="40">
        <f>SUMIFS(Product!$D$5:$D$24,Product!$C$5:$C$24,Venta!F225)</f>
        <v>0</v>
      </c>
      <c r="H225" s="94"/>
      <c r="I225" s="41">
        <f t="shared" si="7"/>
        <v>0</v>
      </c>
      <c r="J225" s="116"/>
    </row>
    <row r="226" spans="2:10" ht="15.75" customHeight="1" x14ac:dyDescent="0.3">
      <c r="B226" s="21"/>
      <c r="C226" s="56"/>
      <c r="D226" s="6"/>
      <c r="E226" s="6"/>
      <c r="F226" s="6"/>
      <c r="G226" s="40">
        <f>SUMIFS(Product!$D$5:$D$24,Product!$C$5:$C$24,Venta!F226)</f>
        <v>0</v>
      </c>
      <c r="H226" s="94"/>
      <c r="I226" s="41">
        <f t="shared" si="7"/>
        <v>0</v>
      </c>
      <c r="J226" s="116"/>
    </row>
    <row r="227" spans="2:10" ht="15.75" customHeight="1" x14ac:dyDescent="0.3">
      <c r="B227" s="21"/>
      <c r="C227" s="56"/>
      <c r="D227" s="6"/>
      <c r="E227" s="6"/>
      <c r="F227" s="6"/>
      <c r="G227" s="40">
        <f>SUMIFS(Product!$D$5:$D$24,Product!$C$5:$C$24,Venta!F227)</f>
        <v>0</v>
      </c>
      <c r="H227" s="94"/>
      <c r="I227" s="41">
        <f t="shared" si="7"/>
        <v>0</v>
      </c>
      <c r="J227" s="116"/>
    </row>
    <row r="228" spans="2:10" ht="15.75" customHeight="1" x14ac:dyDescent="0.3">
      <c r="B228" s="21"/>
      <c r="C228" s="56"/>
      <c r="D228" s="6"/>
      <c r="E228" s="6"/>
      <c r="F228" s="6"/>
      <c r="G228" s="40">
        <f>SUMIFS(Product!$D$5:$D$24,Product!$C$5:$C$24,Venta!F228)</f>
        <v>0</v>
      </c>
      <c r="H228" s="94"/>
      <c r="I228" s="41">
        <f t="shared" si="7"/>
        <v>0</v>
      </c>
      <c r="J228" s="116"/>
    </row>
    <row r="229" spans="2:10" ht="15.75" customHeight="1" x14ac:dyDescent="0.3">
      <c r="B229" s="21"/>
      <c r="C229" s="56"/>
      <c r="D229" s="6"/>
      <c r="E229" s="6"/>
      <c r="F229" s="6"/>
      <c r="G229" s="40">
        <f>SUMIFS(Product!$D$5:$D$24,Product!$C$5:$C$24,Venta!F229)</f>
        <v>0</v>
      </c>
      <c r="H229" s="94"/>
      <c r="I229" s="41">
        <f t="shared" si="7"/>
        <v>0</v>
      </c>
      <c r="J229" s="116"/>
    </row>
    <row r="230" spans="2:10" ht="15.75" customHeight="1" x14ac:dyDescent="0.3">
      <c r="B230" s="21"/>
      <c r="C230" s="56"/>
      <c r="D230" s="6"/>
      <c r="E230" s="6"/>
      <c r="F230" s="6"/>
      <c r="G230" s="40">
        <f>SUMIFS(Product!$D$5:$D$24,Product!$C$5:$C$24,Venta!F230)</f>
        <v>0</v>
      </c>
      <c r="H230" s="94"/>
      <c r="I230" s="41">
        <f t="shared" si="7"/>
        <v>0</v>
      </c>
      <c r="J230" s="116"/>
    </row>
    <row r="231" spans="2:10" ht="15.75" customHeight="1" x14ac:dyDescent="0.3">
      <c r="B231" s="21"/>
      <c r="C231" s="56"/>
      <c r="D231" s="6"/>
      <c r="E231" s="6"/>
      <c r="F231" s="6"/>
      <c r="G231" s="40">
        <f>SUMIFS(Product!$D$5:$D$24,Product!$C$5:$C$24,Venta!F231)</f>
        <v>0</v>
      </c>
      <c r="H231" s="94"/>
      <c r="I231" s="41">
        <f t="shared" si="7"/>
        <v>0</v>
      </c>
      <c r="J231" s="116"/>
    </row>
    <row r="232" spans="2:10" ht="15.75" customHeight="1" x14ac:dyDescent="0.3">
      <c r="B232" s="21"/>
      <c r="C232" s="56"/>
      <c r="D232" s="6"/>
      <c r="E232" s="6"/>
      <c r="F232" s="6"/>
      <c r="G232" s="40">
        <f>SUMIFS(Product!$D$5:$D$24,Product!$C$5:$C$24,Venta!F232)</f>
        <v>0</v>
      </c>
      <c r="H232" s="94"/>
      <c r="I232" s="41">
        <f t="shared" si="7"/>
        <v>0</v>
      </c>
      <c r="J232" s="116"/>
    </row>
    <row r="233" spans="2:10" ht="15.75" customHeight="1" x14ac:dyDescent="0.3">
      <c r="B233" s="21"/>
      <c r="C233" s="56"/>
      <c r="D233" s="6"/>
      <c r="E233" s="6"/>
      <c r="F233" s="6"/>
      <c r="G233" s="40">
        <f>SUMIFS(Product!$D$5:$D$24,Product!$C$5:$C$24,Venta!F233)</f>
        <v>0</v>
      </c>
      <c r="H233" s="94"/>
      <c r="I233" s="41">
        <f t="shared" si="7"/>
        <v>0</v>
      </c>
      <c r="J233" s="116"/>
    </row>
    <row r="234" spans="2:10" ht="15.75" customHeight="1" x14ac:dyDescent="0.3">
      <c r="B234" s="21"/>
      <c r="C234" s="56"/>
      <c r="D234" s="6"/>
      <c r="E234" s="6"/>
      <c r="F234" s="6"/>
      <c r="G234" s="40">
        <f>SUMIFS(Product!$D$5:$D$24,Product!$C$5:$C$24,Venta!F234)</f>
        <v>0</v>
      </c>
      <c r="H234" s="94"/>
      <c r="I234" s="41">
        <f t="shared" si="7"/>
        <v>0</v>
      </c>
      <c r="J234" s="116"/>
    </row>
    <row r="235" spans="2:10" ht="15.75" customHeight="1" x14ac:dyDescent="0.3">
      <c r="B235" s="21"/>
      <c r="C235" s="56"/>
      <c r="D235" s="6"/>
      <c r="E235" s="6"/>
      <c r="F235" s="6"/>
      <c r="G235" s="40">
        <f>SUMIFS(Product!$D$5:$D$24,Product!$C$5:$C$24,Venta!F235)</f>
        <v>0</v>
      </c>
      <c r="H235" s="94"/>
      <c r="I235" s="41">
        <f t="shared" si="7"/>
        <v>0</v>
      </c>
      <c r="J235" s="116"/>
    </row>
    <row r="236" spans="2:10" ht="15.75" customHeight="1" x14ac:dyDescent="0.3">
      <c r="B236" s="21"/>
      <c r="C236" s="56"/>
      <c r="D236" s="6"/>
      <c r="E236" s="6"/>
      <c r="F236" s="6"/>
      <c r="G236" s="40">
        <f>SUMIFS(Product!$D$5:$D$24,Product!$C$5:$C$24,Venta!F236)</f>
        <v>0</v>
      </c>
      <c r="H236" s="94"/>
      <c r="I236" s="41">
        <f t="shared" si="7"/>
        <v>0</v>
      </c>
      <c r="J236" s="116"/>
    </row>
    <row r="237" spans="2:10" ht="15.75" customHeight="1" x14ac:dyDescent="0.3">
      <c r="B237" s="21"/>
      <c r="C237" s="56"/>
      <c r="D237" s="6"/>
      <c r="E237" s="6"/>
      <c r="F237" s="6"/>
      <c r="G237" s="40">
        <f>SUMIFS(Product!$D$5:$D$24,Product!$C$5:$C$24,Venta!F237)</f>
        <v>0</v>
      </c>
      <c r="H237" s="94"/>
      <c r="I237" s="41">
        <f t="shared" si="7"/>
        <v>0</v>
      </c>
      <c r="J237" s="116"/>
    </row>
    <row r="238" spans="2:10" ht="15.75" customHeight="1" x14ac:dyDescent="0.3">
      <c r="B238" s="21"/>
      <c r="C238" s="56"/>
      <c r="D238" s="6"/>
      <c r="E238" s="6"/>
      <c r="F238" s="6"/>
      <c r="G238" s="40">
        <f>SUMIFS(Product!$D$5:$D$24,Product!$C$5:$C$24,Venta!F238)</f>
        <v>0</v>
      </c>
      <c r="H238" s="94"/>
      <c r="I238" s="41">
        <f t="shared" si="7"/>
        <v>0</v>
      </c>
      <c r="J238" s="116"/>
    </row>
    <row r="239" spans="2:10" ht="15.75" customHeight="1" x14ac:dyDescent="0.3">
      <c r="B239" s="21"/>
      <c r="C239" s="56"/>
      <c r="D239" s="6"/>
      <c r="E239" s="6"/>
      <c r="F239" s="6"/>
      <c r="G239" s="40">
        <f>SUMIFS(Product!$D$5:$D$24,Product!$C$5:$C$24,Venta!F239)</f>
        <v>0</v>
      </c>
      <c r="H239" s="94"/>
      <c r="I239" s="41">
        <f t="shared" si="7"/>
        <v>0</v>
      </c>
      <c r="J239" s="116"/>
    </row>
    <row r="240" spans="2:10" ht="15.75" customHeight="1" x14ac:dyDescent="0.3">
      <c r="B240" s="21"/>
      <c r="C240" s="56"/>
      <c r="D240" s="6"/>
      <c r="E240" s="6"/>
      <c r="F240" s="6"/>
      <c r="G240" s="40">
        <f>SUMIFS(Product!$D$5:$D$24,Product!$C$5:$C$24,Venta!F240)</f>
        <v>0</v>
      </c>
      <c r="H240" s="94"/>
      <c r="I240" s="41">
        <f t="shared" si="7"/>
        <v>0</v>
      </c>
      <c r="J240" s="116"/>
    </row>
    <row r="241" spans="2:10" ht="15.75" customHeight="1" x14ac:dyDescent="0.3">
      <c r="B241" s="21"/>
      <c r="C241" s="56"/>
      <c r="D241" s="6"/>
      <c r="E241" s="6"/>
      <c r="F241" s="6"/>
      <c r="G241" s="40">
        <f>SUMIFS(Product!$D$5:$D$24,Product!$C$5:$C$24,Venta!F241)</f>
        <v>0</v>
      </c>
      <c r="H241" s="94"/>
      <c r="I241" s="41">
        <f t="shared" si="7"/>
        <v>0</v>
      </c>
      <c r="J241" s="116"/>
    </row>
    <row r="242" spans="2:10" ht="15.75" customHeight="1" x14ac:dyDescent="0.3">
      <c r="B242" s="21"/>
      <c r="C242" s="56"/>
      <c r="D242" s="6"/>
      <c r="E242" s="6"/>
      <c r="F242" s="6"/>
      <c r="G242" s="40">
        <f>SUMIFS(Product!$D$5:$D$24,Product!$C$5:$C$24,Venta!F242)</f>
        <v>0</v>
      </c>
      <c r="H242" s="94"/>
      <c r="I242" s="41">
        <f t="shared" si="7"/>
        <v>0</v>
      </c>
      <c r="J242" s="116"/>
    </row>
    <row r="243" spans="2:10" ht="15.75" customHeight="1" x14ac:dyDescent="0.3">
      <c r="B243" s="21"/>
      <c r="C243" s="56"/>
      <c r="D243" s="6"/>
      <c r="E243" s="6"/>
      <c r="F243" s="6"/>
      <c r="G243" s="40">
        <f>SUMIFS(Product!$D$5:$D$24,Product!$C$5:$C$24,Venta!F243)</f>
        <v>0</v>
      </c>
      <c r="H243" s="94"/>
      <c r="I243" s="41">
        <f t="shared" si="7"/>
        <v>0</v>
      </c>
      <c r="J243" s="116"/>
    </row>
    <row r="244" spans="2:10" ht="15.75" customHeight="1" x14ac:dyDescent="0.3">
      <c r="B244" s="21"/>
      <c r="C244" s="56"/>
      <c r="D244" s="6"/>
      <c r="E244" s="6"/>
      <c r="F244" s="6"/>
      <c r="G244" s="40">
        <f>SUMIFS(Product!$D$5:$D$24,Product!$C$5:$C$24,Venta!F244)</f>
        <v>0</v>
      </c>
      <c r="H244" s="94"/>
      <c r="I244" s="41">
        <f t="shared" si="7"/>
        <v>0</v>
      </c>
      <c r="J244" s="116"/>
    </row>
    <row r="245" spans="2:10" ht="15.75" customHeight="1" x14ac:dyDescent="0.3">
      <c r="B245" s="21"/>
      <c r="C245" s="56"/>
      <c r="D245" s="6"/>
      <c r="E245" s="6"/>
      <c r="F245" s="6"/>
      <c r="G245" s="40">
        <f>SUMIFS(Product!$D$5:$D$24,Product!$C$5:$C$24,Venta!F245)</f>
        <v>0</v>
      </c>
      <c r="H245" s="94"/>
      <c r="I245" s="41">
        <f t="shared" si="7"/>
        <v>0</v>
      </c>
      <c r="J245" s="116"/>
    </row>
    <row r="246" spans="2:10" ht="15.75" customHeight="1" x14ac:dyDescent="0.3">
      <c r="B246" s="21"/>
      <c r="C246" s="56"/>
      <c r="D246" s="6"/>
      <c r="E246" s="6"/>
      <c r="F246" s="6"/>
      <c r="G246" s="40">
        <f>SUMIFS(Product!$D$5:$D$24,Product!$C$5:$C$24,Venta!F246)</f>
        <v>0</v>
      </c>
      <c r="H246" s="94"/>
      <c r="I246" s="41">
        <f t="shared" si="7"/>
        <v>0</v>
      </c>
      <c r="J246" s="116"/>
    </row>
    <row r="247" spans="2:10" ht="15.75" customHeight="1" x14ac:dyDescent="0.3">
      <c r="B247" s="21"/>
      <c r="C247" s="56"/>
      <c r="D247" s="6"/>
      <c r="E247" s="6"/>
      <c r="F247" s="6"/>
      <c r="G247" s="40">
        <f>SUMIFS(Product!$D$5:$D$24,Product!$C$5:$C$24,Venta!F247)</f>
        <v>0</v>
      </c>
      <c r="H247" s="94"/>
      <c r="I247" s="41">
        <f t="shared" si="7"/>
        <v>0</v>
      </c>
      <c r="J247" s="116"/>
    </row>
    <row r="248" spans="2:10" ht="15.75" customHeight="1" x14ac:dyDescent="0.3">
      <c r="B248" s="21"/>
      <c r="C248" s="56"/>
      <c r="D248" s="6"/>
      <c r="E248" s="6"/>
      <c r="F248" s="6"/>
      <c r="G248" s="40">
        <f>SUMIFS(Product!$D$5:$D$24,Product!$C$5:$C$24,Venta!F248)</f>
        <v>0</v>
      </c>
      <c r="H248" s="94"/>
      <c r="I248" s="41">
        <f t="shared" si="7"/>
        <v>0</v>
      </c>
      <c r="J248" s="116"/>
    </row>
    <row r="249" spans="2:10" ht="15.75" customHeight="1" x14ac:dyDescent="0.3">
      <c r="B249" s="21"/>
      <c r="C249" s="56"/>
      <c r="D249" s="6"/>
      <c r="E249" s="6"/>
      <c r="F249" s="6"/>
      <c r="G249" s="40">
        <f>SUMIFS(Product!$D$5:$D$24,Product!$C$5:$C$24,Venta!F249)</f>
        <v>0</v>
      </c>
      <c r="H249" s="94"/>
      <c r="I249" s="41">
        <f t="shared" si="7"/>
        <v>0</v>
      </c>
      <c r="J249" s="116"/>
    </row>
    <row r="250" spans="2:10" ht="15.75" customHeight="1" x14ac:dyDescent="0.3">
      <c r="B250" s="21"/>
      <c r="C250" s="56"/>
      <c r="D250" s="6"/>
      <c r="E250" s="6"/>
      <c r="F250" s="6"/>
      <c r="G250" s="40">
        <f>SUMIFS(Product!$D$5:$D$24,Product!$C$5:$C$24,Venta!F250)</f>
        <v>0</v>
      </c>
      <c r="H250" s="94"/>
      <c r="I250" s="41">
        <f t="shared" si="7"/>
        <v>0</v>
      </c>
      <c r="J250" s="116"/>
    </row>
    <row r="251" spans="2:10" ht="15.75" customHeight="1" x14ac:dyDescent="0.3">
      <c r="B251" s="21"/>
      <c r="C251" s="56"/>
      <c r="D251" s="6"/>
      <c r="E251" s="6"/>
      <c r="F251" s="6"/>
      <c r="G251" s="40">
        <f>SUMIFS(Product!$D$5:$D$24,Product!$C$5:$C$24,Venta!F251)</f>
        <v>0</v>
      </c>
      <c r="H251" s="94"/>
      <c r="I251" s="41">
        <f t="shared" si="7"/>
        <v>0</v>
      </c>
      <c r="J251" s="116"/>
    </row>
    <row r="252" spans="2:10" ht="15.75" customHeight="1" x14ac:dyDescent="0.3">
      <c r="B252" s="21"/>
      <c r="C252" s="56"/>
      <c r="D252" s="6"/>
      <c r="E252" s="6"/>
      <c r="F252" s="6"/>
      <c r="G252" s="40">
        <f>SUMIFS(Product!$D$5:$D$24,Product!$C$5:$C$24,Venta!F252)</f>
        <v>0</v>
      </c>
      <c r="H252" s="94"/>
      <c r="I252" s="41">
        <f t="shared" si="7"/>
        <v>0</v>
      </c>
      <c r="J252" s="116"/>
    </row>
    <row r="253" spans="2:10" ht="15.75" customHeight="1" x14ac:dyDescent="0.3">
      <c r="B253" s="21"/>
      <c r="C253" s="56"/>
      <c r="D253" s="6"/>
      <c r="E253" s="6"/>
      <c r="F253" s="6"/>
      <c r="G253" s="40">
        <f>SUMIFS(Product!$D$5:$D$24,Product!$C$5:$C$24,Venta!F253)</f>
        <v>0</v>
      </c>
      <c r="H253" s="94"/>
      <c r="I253" s="41">
        <f t="shared" si="7"/>
        <v>0</v>
      </c>
      <c r="J253" s="116"/>
    </row>
    <row r="254" spans="2:10" ht="15.75" customHeight="1" x14ac:dyDescent="0.3">
      <c r="B254" s="21"/>
      <c r="C254" s="56"/>
      <c r="D254" s="6"/>
      <c r="E254" s="6"/>
      <c r="F254" s="6"/>
      <c r="G254" s="40">
        <f>SUMIFS(Product!$D$5:$D$24,Product!$C$5:$C$24,Venta!F254)</f>
        <v>0</v>
      </c>
      <c r="H254" s="94"/>
      <c r="I254" s="41">
        <f t="shared" si="7"/>
        <v>0</v>
      </c>
      <c r="J254" s="116"/>
    </row>
    <row r="255" spans="2:10" ht="15.75" customHeight="1" x14ac:dyDescent="0.3">
      <c r="B255" s="21"/>
      <c r="C255" s="56"/>
      <c r="D255" s="6"/>
      <c r="E255" s="6"/>
      <c r="F255" s="6"/>
      <c r="G255" s="40">
        <f>SUMIFS(Product!$D$5:$D$24,Product!$C$5:$C$24,Venta!F255)</f>
        <v>0</v>
      </c>
      <c r="H255" s="94"/>
      <c r="I255" s="41">
        <f t="shared" si="7"/>
        <v>0</v>
      </c>
      <c r="J255" s="116"/>
    </row>
    <row r="256" spans="2:10" ht="15.75" customHeight="1" x14ac:dyDescent="0.3">
      <c r="B256" s="21"/>
      <c r="C256" s="56"/>
      <c r="D256" s="6"/>
      <c r="E256" s="6"/>
      <c r="F256" s="6"/>
      <c r="G256" s="40">
        <f>SUMIFS(Product!$D$5:$D$24,Product!$C$5:$C$24,Venta!F256)</f>
        <v>0</v>
      </c>
      <c r="H256" s="94"/>
      <c r="I256" s="41">
        <f t="shared" si="7"/>
        <v>0</v>
      </c>
      <c r="J256" s="116"/>
    </row>
    <row r="257" spans="2:10" ht="15.75" customHeight="1" x14ac:dyDescent="0.3">
      <c r="B257" s="21"/>
      <c r="C257" s="56"/>
      <c r="D257" s="6"/>
      <c r="E257" s="6"/>
      <c r="F257" s="6"/>
      <c r="G257" s="40">
        <f>SUMIFS(Product!$D$5:$D$24,Product!$C$5:$C$24,Venta!F257)</f>
        <v>0</v>
      </c>
      <c r="H257" s="94"/>
      <c r="I257" s="41">
        <f t="shared" si="7"/>
        <v>0</v>
      </c>
      <c r="J257" s="116"/>
    </row>
    <row r="258" spans="2:10" ht="15.75" customHeight="1" x14ac:dyDescent="0.3">
      <c r="B258" s="21"/>
      <c r="C258" s="56"/>
      <c r="D258" s="6"/>
      <c r="E258" s="6"/>
      <c r="F258" s="6"/>
      <c r="G258" s="40">
        <f>SUMIFS(Product!$D$5:$D$24,Product!$C$5:$C$24,Venta!F258)</f>
        <v>0</v>
      </c>
      <c r="H258" s="94"/>
      <c r="I258" s="41">
        <f t="shared" si="7"/>
        <v>0</v>
      </c>
      <c r="J258" s="116"/>
    </row>
    <row r="259" spans="2:10" ht="15.75" customHeight="1" x14ac:dyDescent="0.3">
      <c r="B259" s="21"/>
      <c r="C259" s="56"/>
      <c r="D259" s="6"/>
      <c r="E259" s="6"/>
      <c r="F259" s="6"/>
      <c r="G259" s="40">
        <f>SUMIFS(Product!$D$5:$D$24,Product!$C$5:$C$24,Venta!F259)</f>
        <v>0</v>
      </c>
      <c r="H259" s="94"/>
      <c r="I259" s="41">
        <f t="shared" ref="I259:I322" si="8">G259*H259</f>
        <v>0</v>
      </c>
      <c r="J259" s="116"/>
    </row>
    <row r="260" spans="2:10" ht="15.75" customHeight="1" x14ac:dyDescent="0.3">
      <c r="B260" s="21"/>
      <c r="C260" s="56"/>
      <c r="D260" s="6"/>
      <c r="E260" s="6"/>
      <c r="F260" s="6"/>
      <c r="G260" s="40">
        <f>SUMIFS(Product!$D$5:$D$24,Product!$C$5:$C$24,Venta!F260)</f>
        <v>0</v>
      </c>
      <c r="H260" s="94"/>
      <c r="I260" s="41">
        <f t="shared" si="8"/>
        <v>0</v>
      </c>
      <c r="J260" s="116"/>
    </row>
    <row r="261" spans="2:10" ht="15.75" customHeight="1" x14ac:dyDescent="0.3">
      <c r="B261" s="21"/>
      <c r="C261" s="56"/>
      <c r="D261" s="6"/>
      <c r="E261" s="6"/>
      <c r="F261" s="6"/>
      <c r="G261" s="40">
        <f>SUMIFS(Product!$D$5:$D$24,Product!$C$5:$C$24,Venta!F261)</f>
        <v>0</v>
      </c>
      <c r="H261" s="94"/>
      <c r="I261" s="41">
        <f t="shared" si="8"/>
        <v>0</v>
      </c>
      <c r="J261" s="116"/>
    </row>
    <row r="262" spans="2:10" ht="15.75" customHeight="1" x14ac:dyDescent="0.3">
      <c r="B262" s="21"/>
      <c r="C262" s="56"/>
      <c r="D262" s="6"/>
      <c r="E262" s="6"/>
      <c r="F262" s="6"/>
      <c r="G262" s="40">
        <f>SUMIFS(Product!$D$5:$D$24,Product!$C$5:$C$24,Venta!F262)</f>
        <v>0</v>
      </c>
      <c r="H262" s="94"/>
      <c r="I262" s="41">
        <f t="shared" si="8"/>
        <v>0</v>
      </c>
      <c r="J262" s="116"/>
    </row>
    <row r="263" spans="2:10" ht="15.75" customHeight="1" x14ac:dyDescent="0.3">
      <c r="B263" s="21"/>
      <c r="C263" s="56"/>
      <c r="D263" s="6"/>
      <c r="E263" s="6"/>
      <c r="F263" s="6"/>
      <c r="G263" s="40">
        <f>SUMIFS(Product!$D$5:$D$24,Product!$C$5:$C$24,Venta!F263)</f>
        <v>0</v>
      </c>
      <c r="H263" s="94"/>
      <c r="I263" s="41">
        <f t="shared" si="8"/>
        <v>0</v>
      </c>
      <c r="J263" s="116"/>
    </row>
    <row r="264" spans="2:10" ht="15.75" customHeight="1" x14ac:dyDescent="0.3">
      <c r="B264" s="21"/>
      <c r="C264" s="56"/>
      <c r="D264" s="6"/>
      <c r="E264" s="6"/>
      <c r="F264" s="6"/>
      <c r="G264" s="40">
        <f>SUMIFS(Product!$D$5:$D$24,Product!$C$5:$C$24,Venta!F264)</f>
        <v>0</v>
      </c>
      <c r="H264" s="94"/>
      <c r="I264" s="41">
        <f t="shared" si="8"/>
        <v>0</v>
      </c>
      <c r="J264" s="116"/>
    </row>
    <row r="265" spans="2:10" ht="15.75" customHeight="1" x14ac:dyDescent="0.3">
      <c r="B265" s="21"/>
      <c r="C265" s="56"/>
      <c r="D265" s="6"/>
      <c r="E265" s="6"/>
      <c r="F265" s="6"/>
      <c r="G265" s="40">
        <f>SUMIFS(Product!$D$5:$D$24,Product!$C$5:$C$24,Venta!F265)</f>
        <v>0</v>
      </c>
      <c r="H265" s="94"/>
      <c r="I265" s="41">
        <f t="shared" si="8"/>
        <v>0</v>
      </c>
      <c r="J265" s="116"/>
    </row>
    <row r="266" spans="2:10" ht="15.75" customHeight="1" x14ac:dyDescent="0.3">
      <c r="B266" s="21"/>
      <c r="C266" s="56"/>
      <c r="D266" s="6"/>
      <c r="E266" s="6"/>
      <c r="F266" s="6"/>
      <c r="G266" s="40">
        <f>SUMIFS(Product!$D$5:$D$24,Product!$C$5:$C$24,Venta!F266)</f>
        <v>0</v>
      </c>
      <c r="H266" s="94"/>
      <c r="I266" s="41">
        <f t="shared" si="8"/>
        <v>0</v>
      </c>
      <c r="J266" s="116"/>
    </row>
    <row r="267" spans="2:10" ht="15.75" customHeight="1" x14ac:dyDescent="0.3">
      <c r="B267" s="21"/>
      <c r="C267" s="56"/>
      <c r="D267" s="6"/>
      <c r="E267" s="6"/>
      <c r="F267" s="6"/>
      <c r="G267" s="40">
        <f>SUMIFS(Product!$D$5:$D$24,Product!$C$5:$C$24,Venta!F267)</f>
        <v>0</v>
      </c>
      <c r="H267" s="94"/>
      <c r="I267" s="41">
        <f t="shared" si="8"/>
        <v>0</v>
      </c>
      <c r="J267" s="116"/>
    </row>
    <row r="268" spans="2:10" ht="15.75" customHeight="1" x14ac:dyDescent="0.3">
      <c r="B268" s="21"/>
      <c r="C268" s="56"/>
      <c r="D268" s="6"/>
      <c r="E268" s="6"/>
      <c r="F268" s="6"/>
      <c r="G268" s="40">
        <f>SUMIFS(Product!$D$5:$D$24,Product!$C$5:$C$24,Venta!F268)</f>
        <v>0</v>
      </c>
      <c r="H268" s="94"/>
      <c r="I268" s="41">
        <f t="shared" si="8"/>
        <v>0</v>
      </c>
      <c r="J268" s="116"/>
    </row>
    <row r="269" spans="2:10" ht="15.75" customHeight="1" x14ac:dyDescent="0.3">
      <c r="B269" s="21"/>
      <c r="C269" s="56"/>
      <c r="D269" s="6"/>
      <c r="E269" s="6"/>
      <c r="F269" s="6"/>
      <c r="G269" s="40">
        <f>SUMIFS(Product!$D$5:$D$24,Product!$C$5:$C$24,Venta!F269)</f>
        <v>0</v>
      </c>
      <c r="H269" s="94"/>
      <c r="I269" s="41">
        <f t="shared" si="8"/>
        <v>0</v>
      </c>
      <c r="J269" s="116"/>
    </row>
    <row r="270" spans="2:10" ht="15.75" customHeight="1" x14ac:dyDescent="0.3">
      <c r="B270" s="21"/>
      <c r="C270" s="56"/>
      <c r="D270" s="6"/>
      <c r="E270" s="6"/>
      <c r="F270" s="6"/>
      <c r="G270" s="40">
        <f>SUMIFS(Product!$D$5:$D$24,Product!$C$5:$C$24,Venta!F270)</f>
        <v>0</v>
      </c>
      <c r="H270" s="94"/>
      <c r="I270" s="41">
        <f t="shared" si="8"/>
        <v>0</v>
      </c>
      <c r="J270" s="116"/>
    </row>
    <row r="271" spans="2:10" ht="15.75" customHeight="1" x14ac:dyDescent="0.3">
      <c r="B271" s="21"/>
      <c r="C271" s="56"/>
      <c r="D271" s="6"/>
      <c r="E271" s="6"/>
      <c r="F271" s="6"/>
      <c r="G271" s="40">
        <f>SUMIFS(Product!$D$5:$D$24,Product!$C$5:$C$24,Venta!F271)</f>
        <v>0</v>
      </c>
      <c r="H271" s="94"/>
      <c r="I271" s="41">
        <f t="shared" si="8"/>
        <v>0</v>
      </c>
      <c r="J271" s="116"/>
    </row>
    <row r="272" spans="2:10" ht="15.75" customHeight="1" x14ac:dyDescent="0.3">
      <c r="B272" s="21"/>
      <c r="C272" s="56"/>
      <c r="D272" s="6"/>
      <c r="E272" s="6"/>
      <c r="F272" s="6"/>
      <c r="G272" s="40">
        <f>SUMIFS(Product!$D$5:$D$24,Product!$C$5:$C$24,Venta!F272)</f>
        <v>0</v>
      </c>
      <c r="H272" s="94"/>
      <c r="I272" s="41">
        <f t="shared" si="8"/>
        <v>0</v>
      </c>
      <c r="J272" s="116"/>
    </row>
    <row r="273" spans="2:10" ht="15.75" customHeight="1" x14ac:dyDescent="0.3">
      <c r="B273" s="21"/>
      <c r="C273" s="56"/>
      <c r="D273" s="6"/>
      <c r="E273" s="6"/>
      <c r="F273" s="6"/>
      <c r="G273" s="40">
        <f>SUMIFS(Product!$D$5:$D$24,Product!$C$5:$C$24,Venta!F273)</f>
        <v>0</v>
      </c>
      <c r="H273" s="94"/>
      <c r="I273" s="41">
        <f t="shared" si="8"/>
        <v>0</v>
      </c>
      <c r="J273" s="116"/>
    </row>
    <row r="274" spans="2:10" ht="15.75" customHeight="1" x14ac:dyDescent="0.3">
      <c r="B274" s="21"/>
      <c r="C274" s="56"/>
      <c r="D274" s="6"/>
      <c r="E274" s="6"/>
      <c r="F274" s="6"/>
      <c r="G274" s="40">
        <f>SUMIFS(Product!$D$5:$D$24,Product!$C$5:$C$24,Venta!F274)</f>
        <v>0</v>
      </c>
      <c r="H274" s="94"/>
      <c r="I274" s="41">
        <f t="shared" si="8"/>
        <v>0</v>
      </c>
      <c r="J274" s="116"/>
    </row>
    <row r="275" spans="2:10" ht="15.75" customHeight="1" x14ac:dyDescent="0.3">
      <c r="B275" s="21"/>
      <c r="C275" s="56"/>
      <c r="D275" s="6"/>
      <c r="E275" s="6"/>
      <c r="F275" s="6"/>
      <c r="G275" s="40">
        <f>SUMIFS(Product!$D$5:$D$24,Product!$C$5:$C$24,Venta!F275)</f>
        <v>0</v>
      </c>
      <c r="H275" s="94"/>
      <c r="I275" s="41">
        <f t="shared" si="8"/>
        <v>0</v>
      </c>
      <c r="J275" s="116"/>
    </row>
    <row r="276" spans="2:10" ht="15.75" customHeight="1" x14ac:dyDescent="0.3">
      <c r="B276" s="21"/>
      <c r="C276" s="56"/>
      <c r="D276" s="6"/>
      <c r="E276" s="6"/>
      <c r="F276" s="6"/>
      <c r="G276" s="40">
        <f>SUMIFS(Product!$D$5:$D$24,Product!$C$5:$C$24,Venta!F276)</f>
        <v>0</v>
      </c>
      <c r="H276" s="94"/>
      <c r="I276" s="41">
        <f t="shared" si="8"/>
        <v>0</v>
      </c>
      <c r="J276" s="116"/>
    </row>
    <row r="277" spans="2:10" ht="15.75" customHeight="1" x14ac:dyDescent="0.3">
      <c r="B277" s="21"/>
      <c r="C277" s="56"/>
      <c r="D277" s="6"/>
      <c r="E277" s="6"/>
      <c r="F277" s="6"/>
      <c r="G277" s="40">
        <f>SUMIFS(Product!$D$5:$D$24,Product!$C$5:$C$24,Venta!F277)</f>
        <v>0</v>
      </c>
      <c r="H277" s="94"/>
      <c r="I277" s="41">
        <f t="shared" si="8"/>
        <v>0</v>
      </c>
      <c r="J277" s="116"/>
    </row>
    <row r="278" spans="2:10" ht="15.75" customHeight="1" x14ac:dyDescent="0.3">
      <c r="B278" s="21"/>
      <c r="C278" s="56"/>
      <c r="D278" s="6"/>
      <c r="E278" s="6"/>
      <c r="F278" s="6"/>
      <c r="G278" s="40">
        <f>SUMIFS(Product!$D$5:$D$24,Product!$C$5:$C$24,Venta!F278)</f>
        <v>0</v>
      </c>
      <c r="H278" s="94"/>
      <c r="I278" s="41">
        <f t="shared" si="8"/>
        <v>0</v>
      </c>
      <c r="J278" s="116"/>
    </row>
    <row r="279" spans="2:10" ht="15.75" customHeight="1" x14ac:dyDescent="0.3">
      <c r="B279" s="21"/>
      <c r="C279" s="56"/>
      <c r="D279" s="6"/>
      <c r="E279" s="6"/>
      <c r="F279" s="6"/>
      <c r="G279" s="40">
        <f>SUMIFS(Product!$D$5:$D$24,Product!$C$5:$C$24,Venta!F279)</f>
        <v>0</v>
      </c>
      <c r="H279" s="94"/>
      <c r="I279" s="41">
        <f t="shared" si="8"/>
        <v>0</v>
      </c>
      <c r="J279" s="116"/>
    </row>
    <row r="280" spans="2:10" ht="15.75" customHeight="1" x14ac:dyDescent="0.3">
      <c r="B280" s="21"/>
      <c r="C280" s="56"/>
      <c r="D280" s="6"/>
      <c r="E280" s="6"/>
      <c r="F280" s="6"/>
      <c r="G280" s="40">
        <f>SUMIFS(Product!$D$5:$D$24,Product!$C$5:$C$24,Venta!F280)</f>
        <v>0</v>
      </c>
      <c r="H280" s="94"/>
      <c r="I280" s="41">
        <f t="shared" si="8"/>
        <v>0</v>
      </c>
      <c r="J280" s="116"/>
    </row>
    <row r="281" spans="2:10" ht="15.75" customHeight="1" x14ac:dyDescent="0.3">
      <c r="B281" s="21"/>
      <c r="C281" s="56"/>
      <c r="D281" s="6"/>
      <c r="E281" s="6"/>
      <c r="F281" s="6"/>
      <c r="G281" s="40">
        <f>SUMIFS(Product!$D$5:$D$24,Product!$C$5:$C$24,Venta!F281)</f>
        <v>0</v>
      </c>
      <c r="H281" s="94"/>
      <c r="I281" s="41">
        <f t="shared" si="8"/>
        <v>0</v>
      </c>
      <c r="J281" s="116"/>
    </row>
    <row r="282" spans="2:10" ht="15.75" customHeight="1" x14ac:dyDescent="0.3">
      <c r="B282" s="21"/>
      <c r="C282" s="56"/>
      <c r="D282" s="6"/>
      <c r="E282" s="6"/>
      <c r="F282" s="6"/>
      <c r="G282" s="40">
        <f>SUMIFS(Product!$D$5:$D$24,Product!$C$5:$C$24,Venta!F282)</f>
        <v>0</v>
      </c>
      <c r="H282" s="94"/>
      <c r="I282" s="41">
        <f t="shared" si="8"/>
        <v>0</v>
      </c>
      <c r="J282" s="116"/>
    </row>
    <row r="283" spans="2:10" ht="15.75" customHeight="1" x14ac:dyDescent="0.3">
      <c r="B283" s="21"/>
      <c r="C283" s="56"/>
      <c r="D283" s="6"/>
      <c r="E283" s="6"/>
      <c r="F283" s="6"/>
      <c r="G283" s="40">
        <f>SUMIFS(Product!$D$5:$D$24,Product!$C$5:$C$24,Venta!F283)</f>
        <v>0</v>
      </c>
      <c r="H283" s="94"/>
      <c r="I283" s="41">
        <f t="shared" si="8"/>
        <v>0</v>
      </c>
      <c r="J283" s="116"/>
    </row>
    <row r="284" spans="2:10" ht="15.75" customHeight="1" x14ac:dyDescent="0.3">
      <c r="B284" s="21"/>
      <c r="C284" s="56"/>
      <c r="D284" s="6"/>
      <c r="E284" s="6"/>
      <c r="F284" s="6"/>
      <c r="G284" s="40">
        <f>SUMIFS(Product!$D$5:$D$24,Product!$C$5:$C$24,Venta!F284)</f>
        <v>0</v>
      </c>
      <c r="H284" s="94"/>
      <c r="I284" s="41">
        <f t="shared" si="8"/>
        <v>0</v>
      </c>
      <c r="J284" s="116"/>
    </row>
    <row r="285" spans="2:10" ht="15.75" customHeight="1" x14ac:dyDescent="0.3">
      <c r="B285" s="21"/>
      <c r="C285" s="56"/>
      <c r="D285" s="6"/>
      <c r="E285" s="6"/>
      <c r="F285" s="6"/>
      <c r="G285" s="40">
        <f>SUMIFS(Product!$D$5:$D$24,Product!$C$5:$C$24,Venta!F285)</f>
        <v>0</v>
      </c>
      <c r="H285" s="94"/>
      <c r="I285" s="41">
        <f t="shared" si="8"/>
        <v>0</v>
      </c>
      <c r="J285" s="116"/>
    </row>
    <row r="286" spans="2:10" ht="15.75" customHeight="1" x14ac:dyDescent="0.3">
      <c r="B286" s="21"/>
      <c r="C286" s="56"/>
      <c r="D286" s="6"/>
      <c r="E286" s="6"/>
      <c r="F286" s="6"/>
      <c r="G286" s="40">
        <f>SUMIFS(Product!$D$5:$D$24,Product!$C$5:$C$24,Venta!F286)</f>
        <v>0</v>
      </c>
      <c r="H286" s="94"/>
      <c r="I286" s="41">
        <f t="shared" si="8"/>
        <v>0</v>
      </c>
      <c r="J286" s="116"/>
    </row>
    <row r="287" spans="2:10" ht="15.75" customHeight="1" x14ac:dyDescent="0.3">
      <c r="B287" s="21"/>
      <c r="C287" s="56"/>
      <c r="D287" s="6"/>
      <c r="E287" s="6"/>
      <c r="F287" s="6"/>
      <c r="G287" s="40">
        <f>SUMIFS(Product!$D$5:$D$24,Product!$C$5:$C$24,Venta!F287)</f>
        <v>0</v>
      </c>
      <c r="H287" s="94"/>
      <c r="I287" s="41">
        <f t="shared" si="8"/>
        <v>0</v>
      </c>
      <c r="J287" s="116"/>
    </row>
    <row r="288" spans="2:10" ht="15.75" customHeight="1" x14ac:dyDescent="0.3">
      <c r="B288" s="21"/>
      <c r="C288" s="56"/>
      <c r="D288" s="6"/>
      <c r="E288" s="6"/>
      <c r="F288" s="6"/>
      <c r="G288" s="40">
        <f>SUMIFS(Product!$D$5:$D$24,Product!$C$5:$C$24,Venta!F288)</f>
        <v>0</v>
      </c>
      <c r="H288" s="94"/>
      <c r="I288" s="41">
        <f t="shared" si="8"/>
        <v>0</v>
      </c>
      <c r="J288" s="116"/>
    </row>
    <row r="289" spans="2:10" ht="15.75" customHeight="1" x14ac:dyDescent="0.3">
      <c r="B289" s="21"/>
      <c r="C289" s="56"/>
      <c r="D289" s="6"/>
      <c r="E289" s="6"/>
      <c r="F289" s="6"/>
      <c r="G289" s="40">
        <f>SUMIFS(Product!$D$5:$D$24,Product!$C$5:$C$24,Venta!F289)</f>
        <v>0</v>
      </c>
      <c r="H289" s="94"/>
      <c r="I289" s="41">
        <f t="shared" si="8"/>
        <v>0</v>
      </c>
      <c r="J289" s="116"/>
    </row>
    <row r="290" spans="2:10" ht="15.75" customHeight="1" x14ac:dyDescent="0.3">
      <c r="B290" s="21"/>
      <c r="C290" s="56"/>
      <c r="D290" s="6"/>
      <c r="E290" s="6"/>
      <c r="F290" s="6"/>
      <c r="G290" s="40">
        <f>SUMIFS(Product!$D$5:$D$24,Product!$C$5:$C$24,Venta!F290)</f>
        <v>0</v>
      </c>
      <c r="H290" s="94"/>
      <c r="I290" s="41">
        <f t="shared" si="8"/>
        <v>0</v>
      </c>
      <c r="J290" s="116"/>
    </row>
    <row r="291" spans="2:10" ht="15.75" customHeight="1" x14ac:dyDescent="0.3">
      <c r="B291" s="21"/>
      <c r="C291" s="56"/>
      <c r="D291" s="6"/>
      <c r="E291" s="6"/>
      <c r="F291" s="6"/>
      <c r="G291" s="40">
        <f>SUMIFS(Product!$D$5:$D$24,Product!$C$5:$C$24,Venta!F291)</f>
        <v>0</v>
      </c>
      <c r="H291" s="94"/>
      <c r="I291" s="41">
        <f t="shared" si="8"/>
        <v>0</v>
      </c>
      <c r="J291" s="116"/>
    </row>
    <row r="292" spans="2:10" ht="15.75" customHeight="1" x14ac:dyDescent="0.3">
      <c r="B292" s="21"/>
      <c r="C292" s="56"/>
      <c r="D292" s="6"/>
      <c r="E292" s="6"/>
      <c r="F292" s="6"/>
      <c r="G292" s="40">
        <f>SUMIFS(Product!$D$5:$D$24,Product!$C$5:$C$24,Venta!F292)</f>
        <v>0</v>
      </c>
      <c r="H292" s="94"/>
      <c r="I292" s="41">
        <f t="shared" si="8"/>
        <v>0</v>
      </c>
      <c r="J292" s="116"/>
    </row>
    <row r="293" spans="2:10" ht="15.75" customHeight="1" x14ac:dyDescent="0.3">
      <c r="B293" s="21"/>
      <c r="C293" s="56"/>
      <c r="D293" s="6"/>
      <c r="E293" s="6"/>
      <c r="F293" s="6"/>
      <c r="G293" s="40">
        <f>SUMIFS(Product!$D$5:$D$24,Product!$C$5:$C$24,Venta!F293)</f>
        <v>0</v>
      </c>
      <c r="H293" s="94"/>
      <c r="I293" s="41">
        <f t="shared" si="8"/>
        <v>0</v>
      </c>
      <c r="J293" s="116"/>
    </row>
    <row r="294" spans="2:10" ht="15.75" customHeight="1" x14ac:dyDescent="0.3">
      <c r="B294" s="21"/>
      <c r="C294" s="56"/>
      <c r="D294" s="6"/>
      <c r="E294" s="6"/>
      <c r="F294" s="6"/>
      <c r="G294" s="40">
        <f>SUMIFS(Product!$D$5:$D$24,Product!$C$5:$C$24,Venta!F294)</f>
        <v>0</v>
      </c>
      <c r="H294" s="94"/>
      <c r="I294" s="41">
        <f t="shared" si="8"/>
        <v>0</v>
      </c>
      <c r="J294" s="116"/>
    </row>
    <row r="295" spans="2:10" ht="15.75" customHeight="1" x14ac:dyDescent="0.3">
      <c r="B295" s="21"/>
      <c r="C295" s="56"/>
      <c r="D295" s="6"/>
      <c r="E295" s="6"/>
      <c r="F295" s="6"/>
      <c r="G295" s="40">
        <f>SUMIFS(Product!$D$5:$D$24,Product!$C$5:$C$24,Venta!F295)</f>
        <v>0</v>
      </c>
      <c r="H295" s="94"/>
      <c r="I295" s="41">
        <f t="shared" si="8"/>
        <v>0</v>
      </c>
      <c r="J295" s="116"/>
    </row>
    <row r="296" spans="2:10" ht="15.75" customHeight="1" x14ac:dyDescent="0.3">
      <c r="B296" s="21"/>
      <c r="C296" s="56"/>
      <c r="D296" s="6"/>
      <c r="E296" s="6"/>
      <c r="F296" s="6"/>
      <c r="G296" s="40">
        <f>SUMIFS(Product!$D$5:$D$24,Product!$C$5:$C$24,Venta!F296)</f>
        <v>0</v>
      </c>
      <c r="H296" s="94"/>
      <c r="I296" s="41">
        <f t="shared" si="8"/>
        <v>0</v>
      </c>
      <c r="J296" s="116"/>
    </row>
    <row r="297" spans="2:10" ht="15.75" customHeight="1" x14ac:dyDescent="0.3">
      <c r="B297" s="21"/>
      <c r="C297" s="56"/>
      <c r="D297" s="6"/>
      <c r="E297" s="6"/>
      <c r="F297" s="6"/>
      <c r="G297" s="40">
        <f>SUMIFS(Product!$D$5:$D$24,Product!$C$5:$C$24,Venta!F297)</f>
        <v>0</v>
      </c>
      <c r="H297" s="94"/>
      <c r="I297" s="41">
        <f t="shared" si="8"/>
        <v>0</v>
      </c>
      <c r="J297" s="116"/>
    </row>
    <row r="298" spans="2:10" ht="15.75" customHeight="1" x14ac:dyDescent="0.3">
      <c r="B298" s="21"/>
      <c r="C298" s="56"/>
      <c r="D298" s="6"/>
      <c r="E298" s="6"/>
      <c r="F298" s="6"/>
      <c r="G298" s="40">
        <f>SUMIFS(Product!$D$5:$D$24,Product!$C$5:$C$24,Venta!F298)</f>
        <v>0</v>
      </c>
      <c r="H298" s="94"/>
      <c r="I298" s="41">
        <f t="shared" si="8"/>
        <v>0</v>
      </c>
      <c r="J298" s="116"/>
    </row>
    <row r="299" spans="2:10" ht="15.75" customHeight="1" x14ac:dyDescent="0.3">
      <c r="B299" s="21"/>
      <c r="C299" s="56"/>
      <c r="D299" s="6"/>
      <c r="E299" s="6"/>
      <c r="F299" s="6"/>
      <c r="G299" s="40">
        <f>SUMIFS(Product!$D$5:$D$24,Product!$C$5:$C$24,Venta!F299)</f>
        <v>0</v>
      </c>
      <c r="H299" s="94"/>
      <c r="I299" s="41">
        <f t="shared" si="8"/>
        <v>0</v>
      </c>
      <c r="J299" s="116"/>
    </row>
    <row r="300" spans="2:10" ht="15.75" customHeight="1" x14ac:dyDescent="0.3">
      <c r="B300" s="21"/>
      <c r="C300" s="56"/>
      <c r="D300" s="6"/>
      <c r="E300" s="6"/>
      <c r="F300" s="6"/>
      <c r="G300" s="40">
        <f>SUMIFS(Product!$D$5:$D$24,Product!$C$5:$C$24,Venta!F300)</f>
        <v>0</v>
      </c>
      <c r="H300" s="94"/>
      <c r="I300" s="41">
        <f t="shared" si="8"/>
        <v>0</v>
      </c>
      <c r="J300" s="116"/>
    </row>
    <row r="301" spans="2:10" ht="15.75" customHeight="1" x14ac:dyDescent="0.3">
      <c r="B301" s="21"/>
      <c r="C301" s="56"/>
      <c r="D301" s="6"/>
      <c r="E301" s="6"/>
      <c r="F301" s="6"/>
      <c r="G301" s="40">
        <f>SUMIFS(Product!$D$5:$D$24,Product!$C$5:$C$24,Venta!F301)</f>
        <v>0</v>
      </c>
      <c r="H301" s="94"/>
      <c r="I301" s="41">
        <f t="shared" si="8"/>
        <v>0</v>
      </c>
      <c r="J301" s="116"/>
    </row>
    <row r="302" spans="2:10" ht="15.75" customHeight="1" x14ac:dyDescent="0.3">
      <c r="B302" s="21"/>
      <c r="C302" s="56"/>
      <c r="D302" s="6"/>
      <c r="E302" s="6"/>
      <c r="F302" s="6"/>
      <c r="G302" s="40">
        <f>SUMIFS(Product!$D$5:$D$24,Product!$C$5:$C$24,Venta!F302)</f>
        <v>0</v>
      </c>
      <c r="H302" s="94"/>
      <c r="I302" s="41">
        <f t="shared" si="8"/>
        <v>0</v>
      </c>
      <c r="J302" s="116"/>
    </row>
    <row r="303" spans="2:10" ht="15.75" customHeight="1" x14ac:dyDescent="0.3">
      <c r="B303" s="21"/>
      <c r="C303" s="56"/>
      <c r="D303" s="6"/>
      <c r="E303" s="6"/>
      <c r="F303" s="6"/>
      <c r="G303" s="40">
        <f>SUMIFS(Product!$D$5:$D$24,Product!$C$5:$C$24,Venta!F303)</f>
        <v>0</v>
      </c>
      <c r="H303" s="94"/>
      <c r="I303" s="41">
        <f t="shared" si="8"/>
        <v>0</v>
      </c>
      <c r="J303" s="116"/>
    </row>
    <row r="304" spans="2:10" ht="15.75" customHeight="1" x14ac:dyDescent="0.3">
      <c r="B304" s="21"/>
      <c r="C304" s="56"/>
      <c r="D304" s="6"/>
      <c r="E304" s="6"/>
      <c r="F304" s="6"/>
      <c r="G304" s="40">
        <f>SUMIFS(Product!$D$5:$D$24,Product!$C$5:$C$24,Venta!F304)</f>
        <v>0</v>
      </c>
      <c r="H304" s="94"/>
      <c r="I304" s="41">
        <f t="shared" si="8"/>
        <v>0</v>
      </c>
      <c r="J304" s="116"/>
    </row>
    <row r="305" spans="2:10" ht="15.75" customHeight="1" x14ac:dyDescent="0.3">
      <c r="B305" s="21"/>
      <c r="C305" s="56"/>
      <c r="D305" s="6"/>
      <c r="E305" s="6"/>
      <c r="F305" s="6"/>
      <c r="G305" s="40">
        <f>SUMIFS(Product!$D$5:$D$24,Product!$C$5:$C$24,Venta!F305)</f>
        <v>0</v>
      </c>
      <c r="H305" s="94"/>
      <c r="I305" s="41">
        <f t="shared" si="8"/>
        <v>0</v>
      </c>
      <c r="J305" s="116"/>
    </row>
    <row r="306" spans="2:10" ht="15.75" customHeight="1" x14ac:dyDescent="0.3">
      <c r="B306" s="21"/>
      <c r="C306" s="56"/>
      <c r="D306" s="6"/>
      <c r="E306" s="6"/>
      <c r="F306" s="6"/>
      <c r="G306" s="40">
        <f>SUMIFS(Product!$D$5:$D$24,Product!$C$5:$C$24,Venta!F306)</f>
        <v>0</v>
      </c>
      <c r="H306" s="94"/>
      <c r="I306" s="41">
        <f t="shared" si="8"/>
        <v>0</v>
      </c>
      <c r="J306" s="116"/>
    </row>
    <row r="307" spans="2:10" ht="15.75" customHeight="1" x14ac:dyDescent="0.3">
      <c r="B307" s="21"/>
      <c r="C307" s="56"/>
      <c r="D307" s="6"/>
      <c r="E307" s="6"/>
      <c r="F307" s="6"/>
      <c r="G307" s="40">
        <f>SUMIFS(Product!$D$5:$D$24,Product!$C$5:$C$24,Venta!F307)</f>
        <v>0</v>
      </c>
      <c r="H307" s="94"/>
      <c r="I307" s="41">
        <f t="shared" si="8"/>
        <v>0</v>
      </c>
      <c r="J307" s="116"/>
    </row>
    <row r="308" spans="2:10" ht="15.75" customHeight="1" x14ac:dyDescent="0.3">
      <c r="B308" s="21"/>
      <c r="C308" s="56"/>
      <c r="D308" s="6"/>
      <c r="E308" s="6"/>
      <c r="F308" s="6"/>
      <c r="G308" s="40">
        <f>SUMIFS(Product!$D$5:$D$24,Product!$C$5:$C$24,Venta!F308)</f>
        <v>0</v>
      </c>
      <c r="H308" s="94"/>
      <c r="I308" s="41">
        <f t="shared" si="8"/>
        <v>0</v>
      </c>
      <c r="J308" s="116"/>
    </row>
    <row r="309" spans="2:10" ht="15.75" customHeight="1" x14ac:dyDescent="0.3">
      <c r="B309" s="21"/>
      <c r="C309" s="56"/>
      <c r="D309" s="6"/>
      <c r="E309" s="6"/>
      <c r="F309" s="6"/>
      <c r="G309" s="40">
        <f>SUMIFS(Product!$D$5:$D$24,Product!$C$5:$C$24,Venta!F309)</f>
        <v>0</v>
      </c>
      <c r="H309" s="94"/>
      <c r="I309" s="41">
        <f t="shared" si="8"/>
        <v>0</v>
      </c>
      <c r="J309" s="116"/>
    </row>
    <row r="310" spans="2:10" ht="15.75" customHeight="1" x14ac:dyDescent="0.3">
      <c r="B310" s="21"/>
      <c r="C310" s="56"/>
      <c r="D310" s="6"/>
      <c r="E310" s="6"/>
      <c r="F310" s="6"/>
      <c r="G310" s="40">
        <f>SUMIFS(Product!$D$5:$D$24,Product!$C$5:$C$24,Venta!F310)</f>
        <v>0</v>
      </c>
      <c r="H310" s="94"/>
      <c r="I310" s="41">
        <f t="shared" si="8"/>
        <v>0</v>
      </c>
      <c r="J310" s="116"/>
    </row>
    <row r="311" spans="2:10" ht="15.75" customHeight="1" x14ac:dyDescent="0.3">
      <c r="B311" s="21"/>
      <c r="C311" s="56"/>
      <c r="D311" s="6"/>
      <c r="E311" s="6"/>
      <c r="F311" s="6"/>
      <c r="G311" s="40">
        <f>SUMIFS(Product!$D$5:$D$24,Product!$C$5:$C$24,Venta!F311)</f>
        <v>0</v>
      </c>
      <c r="H311" s="94"/>
      <c r="I311" s="41">
        <f t="shared" si="8"/>
        <v>0</v>
      </c>
      <c r="J311" s="116"/>
    </row>
    <row r="312" spans="2:10" ht="15.75" customHeight="1" x14ac:dyDescent="0.3">
      <c r="B312" s="21"/>
      <c r="C312" s="56"/>
      <c r="D312" s="6"/>
      <c r="E312" s="6"/>
      <c r="F312" s="6"/>
      <c r="G312" s="40">
        <f>SUMIFS(Product!$D$5:$D$24,Product!$C$5:$C$24,Venta!F312)</f>
        <v>0</v>
      </c>
      <c r="H312" s="94"/>
      <c r="I312" s="41">
        <f t="shared" si="8"/>
        <v>0</v>
      </c>
      <c r="J312" s="116"/>
    </row>
    <row r="313" spans="2:10" ht="15.75" customHeight="1" x14ac:dyDescent="0.3">
      <c r="B313" s="21"/>
      <c r="C313" s="56"/>
      <c r="D313" s="6"/>
      <c r="E313" s="6"/>
      <c r="F313" s="6"/>
      <c r="G313" s="40">
        <f>SUMIFS(Product!$D$5:$D$24,Product!$C$5:$C$24,Venta!F313)</f>
        <v>0</v>
      </c>
      <c r="H313" s="94"/>
      <c r="I313" s="41">
        <f t="shared" si="8"/>
        <v>0</v>
      </c>
      <c r="J313" s="116"/>
    </row>
    <row r="314" spans="2:10" ht="15.75" customHeight="1" x14ac:dyDescent="0.3">
      <c r="B314" s="21"/>
      <c r="C314" s="56"/>
      <c r="D314" s="6"/>
      <c r="E314" s="6"/>
      <c r="F314" s="6"/>
      <c r="G314" s="40">
        <f>SUMIFS(Product!$D$5:$D$24,Product!$C$5:$C$24,Venta!F314)</f>
        <v>0</v>
      </c>
      <c r="H314" s="94"/>
      <c r="I314" s="41">
        <f t="shared" si="8"/>
        <v>0</v>
      </c>
      <c r="J314" s="116"/>
    </row>
    <row r="315" spans="2:10" ht="15.75" customHeight="1" x14ac:dyDescent="0.3">
      <c r="B315" s="21"/>
      <c r="C315" s="56"/>
      <c r="D315" s="6"/>
      <c r="E315" s="6"/>
      <c r="F315" s="6"/>
      <c r="G315" s="40">
        <f>SUMIFS(Product!$D$5:$D$24,Product!$C$5:$C$24,Venta!F315)</f>
        <v>0</v>
      </c>
      <c r="H315" s="94"/>
      <c r="I315" s="41">
        <f t="shared" si="8"/>
        <v>0</v>
      </c>
      <c r="J315" s="116"/>
    </row>
    <row r="316" spans="2:10" ht="15.75" customHeight="1" x14ac:dyDescent="0.3">
      <c r="B316" s="21"/>
      <c r="C316" s="56"/>
      <c r="D316" s="6"/>
      <c r="E316" s="6"/>
      <c r="F316" s="6"/>
      <c r="G316" s="40">
        <f>SUMIFS(Product!$D$5:$D$24,Product!$C$5:$C$24,Venta!F316)</f>
        <v>0</v>
      </c>
      <c r="H316" s="94"/>
      <c r="I316" s="41">
        <f t="shared" si="8"/>
        <v>0</v>
      </c>
      <c r="J316" s="116"/>
    </row>
    <row r="317" spans="2:10" ht="15.75" customHeight="1" x14ac:dyDescent="0.3">
      <c r="B317" s="21"/>
      <c r="C317" s="56"/>
      <c r="D317" s="6"/>
      <c r="E317" s="6"/>
      <c r="F317" s="6"/>
      <c r="G317" s="40">
        <f>SUMIFS(Product!$D$5:$D$24,Product!$C$5:$C$24,Venta!F317)</f>
        <v>0</v>
      </c>
      <c r="H317" s="94"/>
      <c r="I317" s="41">
        <f t="shared" si="8"/>
        <v>0</v>
      </c>
      <c r="J317" s="116"/>
    </row>
    <row r="318" spans="2:10" ht="15.75" customHeight="1" x14ac:dyDescent="0.3">
      <c r="B318" s="21"/>
      <c r="C318" s="56"/>
      <c r="D318" s="6"/>
      <c r="E318" s="6"/>
      <c r="F318" s="6"/>
      <c r="G318" s="40">
        <f>SUMIFS(Product!$D$5:$D$24,Product!$C$5:$C$24,Venta!F318)</f>
        <v>0</v>
      </c>
      <c r="H318" s="94"/>
      <c r="I318" s="41">
        <f t="shared" si="8"/>
        <v>0</v>
      </c>
      <c r="J318" s="116"/>
    </row>
    <row r="319" spans="2:10" ht="15.75" customHeight="1" x14ac:dyDescent="0.3">
      <c r="B319" s="21"/>
      <c r="C319" s="56"/>
      <c r="D319" s="6"/>
      <c r="E319" s="6"/>
      <c r="F319" s="6"/>
      <c r="G319" s="40">
        <f>SUMIFS(Product!$D$5:$D$24,Product!$C$5:$C$24,Venta!F319)</f>
        <v>0</v>
      </c>
      <c r="H319" s="94"/>
      <c r="I319" s="41">
        <f t="shared" si="8"/>
        <v>0</v>
      </c>
      <c r="J319" s="116"/>
    </row>
    <row r="320" spans="2:10" ht="15.75" customHeight="1" x14ac:dyDescent="0.3">
      <c r="B320" s="21"/>
      <c r="C320" s="56"/>
      <c r="D320" s="6"/>
      <c r="E320" s="6"/>
      <c r="F320" s="6"/>
      <c r="G320" s="40">
        <f>SUMIFS(Product!$D$5:$D$24,Product!$C$5:$C$24,Venta!F320)</f>
        <v>0</v>
      </c>
      <c r="H320" s="94"/>
      <c r="I320" s="41">
        <f t="shared" si="8"/>
        <v>0</v>
      </c>
      <c r="J320" s="116"/>
    </row>
    <row r="321" spans="2:10" ht="15.75" customHeight="1" x14ac:dyDescent="0.3">
      <c r="B321" s="21"/>
      <c r="C321" s="56"/>
      <c r="D321" s="6"/>
      <c r="E321" s="6"/>
      <c r="F321" s="6"/>
      <c r="G321" s="40">
        <f>SUMIFS(Product!$D$5:$D$24,Product!$C$5:$C$24,Venta!F321)</f>
        <v>0</v>
      </c>
      <c r="H321" s="94"/>
      <c r="I321" s="41">
        <f t="shared" si="8"/>
        <v>0</v>
      </c>
      <c r="J321" s="116"/>
    </row>
    <row r="322" spans="2:10" ht="15.75" customHeight="1" x14ac:dyDescent="0.3">
      <c r="B322" s="21"/>
      <c r="C322" s="56"/>
      <c r="D322" s="6"/>
      <c r="E322" s="6"/>
      <c r="F322" s="6"/>
      <c r="G322" s="40">
        <f>SUMIFS(Product!$D$5:$D$24,Product!$C$5:$C$24,Venta!F322)</f>
        <v>0</v>
      </c>
      <c r="H322" s="94"/>
      <c r="I322" s="41">
        <f t="shared" si="8"/>
        <v>0</v>
      </c>
      <c r="J322" s="116"/>
    </row>
    <row r="323" spans="2:10" ht="15.75" customHeight="1" x14ac:dyDescent="0.3">
      <c r="B323" s="21"/>
      <c r="C323" s="56"/>
      <c r="D323" s="6"/>
      <c r="E323" s="6"/>
      <c r="F323" s="6"/>
      <c r="G323" s="40">
        <f>SUMIFS(Product!$D$5:$D$24,Product!$C$5:$C$24,Venta!F323)</f>
        <v>0</v>
      </c>
      <c r="H323" s="94"/>
      <c r="I323" s="41">
        <f t="shared" ref="I323:I365" si="9">G323*H323</f>
        <v>0</v>
      </c>
      <c r="J323" s="116"/>
    </row>
    <row r="324" spans="2:10" ht="15.75" customHeight="1" x14ac:dyDescent="0.3">
      <c r="B324" s="21"/>
      <c r="C324" s="56"/>
      <c r="D324" s="6"/>
      <c r="E324" s="6"/>
      <c r="F324" s="6"/>
      <c r="G324" s="40">
        <f>SUMIFS(Product!$D$5:$D$24,Product!$C$5:$C$24,Venta!F324)</f>
        <v>0</v>
      </c>
      <c r="H324" s="94"/>
      <c r="I324" s="41">
        <f t="shared" si="9"/>
        <v>0</v>
      </c>
      <c r="J324" s="116"/>
    </row>
    <row r="325" spans="2:10" ht="15.75" customHeight="1" x14ac:dyDescent="0.3">
      <c r="B325" s="21"/>
      <c r="C325" s="56"/>
      <c r="D325" s="6"/>
      <c r="E325" s="6"/>
      <c r="F325" s="6"/>
      <c r="G325" s="40">
        <f>SUMIFS(Product!$D$5:$D$24,Product!$C$5:$C$24,Venta!F325)</f>
        <v>0</v>
      </c>
      <c r="H325" s="94"/>
      <c r="I325" s="41">
        <f t="shared" si="9"/>
        <v>0</v>
      </c>
      <c r="J325" s="116"/>
    </row>
    <row r="326" spans="2:10" ht="15.75" customHeight="1" x14ac:dyDescent="0.3">
      <c r="B326" s="21"/>
      <c r="C326" s="56"/>
      <c r="D326" s="6"/>
      <c r="E326" s="6"/>
      <c r="F326" s="6"/>
      <c r="G326" s="40">
        <f>SUMIFS(Product!$D$5:$D$24,Product!$C$5:$C$24,Venta!F326)</f>
        <v>0</v>
      </c>
      <c r="H326" s="94"/>
      <c r="I326" s="41">
        <f t="shared" si="9"/>
        <v>0</v>
      </c>
      <c r="J326" s="116"/>
    </row>
    <row r="327" spans="2:10" ht="15.75" customHeight="1" x14ac:dyDescent="0.3">
      <c r="B327" s="21"/>
      <c r="C327" s="56"/>
      <c r="D327" s="6"/>
      <c r="E327" s="6"/>
      <c r="F327" s="6"/>
      <c r="G327" s="40">
        <f>SUMIFS(Product!$D$5:$D$24,Product!$C$5:$C$24,Venta!F327)</f>
        <v>0</v>
      </c>
      <c r="H327" s="94"/>
      <c r="I327" s="41">
        <f t="shared" si="9"/>
        <v>0</v>
      </c>
      <c r="J327" s="116"/>
    </row>
    <row r="328" spans="2:10" ht="15.75" customHeight="1" x14ac:dyDescent="0.3">
      <c r="B328" s="21"/>
      <c r="C328" s="56"/>
      <c r="D328" s="6"/>
      <c r="E328" s="6"/>
      <c r="F328" s="6"/>
      <c r="G328" s="40">
        <f>SUMIFS(Product!$D$5:$D$24,Product!$C$5:$C$24,Venta!F328)</f>
        <v>0</v>
      </c>
      <c r="H328" s="94"/>
      <c r="I328" s="41">
        <f t="shared" si="9"/>
        <v>0</v>
      </c>
      <c r="J328" s="116"/>
    </row>
    <row r="329" spans="2:10" ht="15.75" customHeight="1" x14ac:dyDescent="0.3">
      <c r="B329" s="21"/>
      <c r="C329" s="56"/>
      <c r="D329" s="6"/>
      <c r="E329" s="6"/>
      <c r="F329" s="6"/>
      <c r="G329" s="40">
        <f>SUMIFS(Product!$D$5:$D$24,Product!$C$5:$C$24,Venta!F329)</f>
        <v>0</v>
      </c>
      <c r="H329" s="94"/>
      <c r="I329" s="41">
        <f t="shared" si="9"/>
        <v>0</v>
      </c>
      <c r="J329" s="116"/>
    </row>
    <row r="330" spans="2:10" ht="15.75" customHeight="1" x14ac:dyDescent="0.3">
      <c r="B330" s="21"/>
      <c r="C330" s="56"/>
      <c r="D330" s="6"/>
      <c r="E330" s="6"/>
      <c r="F330" s="6"/>
      <c r="G330" s="40">
        <f>SUMIFS(Product!$D$5:$D$24,Product!$C$5:$C$24,Venta!F330)</f>
        <v>0</v>
      </c>
      <c r="H330" s="94"/>
      <c r="I330" s="41">
        <f t="shared" si="9"/>
        <v>0</v>
      </c>
      <c r="J330" s="116"/>
    </row>
    <row r="331" spans="2:10" ht="15.75" customHeight="1" x14ac:dyDescent="0.3">
      <c r="B331" s="21"/>
      <c r="C331" s="56"/>
      <c r="D331" s="6"/>
      <c r="E331" s="6"/>
      <c r="F331" s="6"/>
      <c r="G331" s="40">
        <f>SUMIFS(Product!$D$5:$D$24,Product!$C$5:$C$24,Venta!F331)</f>
        <v>0</v>
      </c>
      <c r="H331" s="94"/>
      <c r="I331" s="41">
        <f t="shared" si="9"/>
        <v>0</v>
      </c>
      <c r="J331" s="116"/>
    </row>
    <row r="332" spans="2:10" ht="15.75" customHeight="1" x14ac:dyDescent="0.3">
      <c r="B332" s="21"/>
      <c r="C332" s="56"/>
      <c r="D332" s="6"/>
      <c r="E332" s="6"/>
      <c r="F332" s="6"/>
      <c r="G332" s="40">
        <f>SUMIFS(Product!$D$5:$D$24,Product!$C$5:$C$24,Venta!F332)</f>
        <v>0</v>
      </c>
      <c r="H332" s="94"/>
      <c r="I332" s="41">
        <f t="shared" si="9"/>
        <v>0</v>
      </c>
      <c r="J332" s="116"/>
    </row>
    <row r="333" spans="2:10" ht="15.75" customHeight="1" x14ac:dyDescent="0.3">
      <c r="B333" s="21"/>
      <c r="C333" s="56"/>
      <c r="D333" s="6"/>
      <c r="E333" s="6"/>
      <c r="F333" s="6"/>
      <c r="G333" s="40">
        <f>SUMIFS(Product!$D$5:$D$24,Product!$C$5:$C$24,Venta!F333)</f>
        <v>0</v>
      </c>
      <c r="H333" s="94"/>
      <c r="I333" s="41">
        <f t="shared" si="9"/>
        <v>0</v>
      </c>
      <c r="J333" s="116"/>
    </row>
    <row r="334" spans="2:10" ht="15.75" customHeight="1" x14ac:dyDescent="0.3">
      <c r="B334" s="21"/>
      <c r="C334" s="56"/>
      <c r="D334" s="6"/>
      <c r="E334" s="6"/>
      <c r="F334" s="6"/>
      <c r="G334" s="40">
        <f>SUMIFS(Product!$D$5:$D$24,Product!$C$5:$C$24,Venta!F334)</f>
        <v>0</v>
      </c>
      <c r="H334" s="94"/>
      <c r="I334" s="41">
        <f t="shared" si="9"/>
        <v>0</v>
      </c>
      <c r="J334" s="116"/>
    </row>
    <row r="335" spans="2:10" ht="15.75" customHeight="1" x14ac:dyDescent="0.3">
      <c r="B335" s="21"/>
      <c r="C335" s="56"/>
      <c r="D335" s="6"/>
      <c r="E335" s="6"/>
      <c r="F335" s="6"/>
      <c r="G335" s="40">
        <f>SUMIFS(Product!$D$5:$D$24,Product!$C$5:$C$24,Venta!F335)</f>
        <v>0</v>
      </c>
      <c r="H335" s="94"/>
      <c r="I335" s="41">
        <f t="shared" si="9"/>
        <v>0</v>
      </c>
      <c r="J335" s="116"/>
    </row>
    <row r="336" spans="2:10" ht="15.75" customHeight="1" x14ac:dyDescent="0.3">
      <c r="B336" s="21"/>
      <c r="C336" s="56"/>
      <c r="D336" s="6"/>
      <c r="E336" s="6"/>
      <c r="F336" s="6"/>
      <c r="G336" s="40">
        <f>SUMIFS(Product!$D$5:$D$24,Product!$C$5:$C$24,Venta!F336)</f>
        <v>0</v>
      </c>
      <c r="H336" s="94"/>
      <c r="I336" s="41">
        <f t="shared" si="9"/>
        <v>0</v>
      </c>
      <c r="J336" s="116"/>
    </row>
    <row r="337" spans="2:10" ht="15.75" customHeight="1" x14ac:dyDescent="0.3">
      <c r="B337" s="21"/>
      <c r="C337" s="56"/>
      <c r="D337" s="6"/>
      <c r="E337" s="6"/>
      <c r="F337" s="6"/>
      <c r="G337" s="40">
        <f>SUMIFS(Product!$D$5:$D$24,Product!$C$5:$C$24,Venta!F337)</f>
        <v>0</v>
      </c>
      <c r="H337" s="94"/>
      <c r="I337" s="41">
        <f t="shared" si="9"/>
        <v>0</v>
      </c>
      <c r="J337" s="116"/>
    </row>
    <row r="338" spans="2:10" ht="15.75" customHeight="1" x14ac:dyDescent="0.3">
      <c r="B338" s="21"/>
      <c r="C338" s="56"/>
      <c r="D338" s="6"/>
      <c r="E338" s="6"/>
      <c r="F338" s="6"/>
      <c r="G338" s="40">
        <f>SUMIFS(Product!$D$5:$D$24,Product!$C$5:$C$24,Venta!F338)</f>
        <v>0</v>
      </c>
      <c r="H338" s="94"/>
      <c r="I338" s="41">
        <f t="shared" si="9"/>
        <v>0</v>
      </c>
      <c r="J338" s="116"/>
    </row>
    <row r="339" spans="2:10" ht="15.75" customHeight="1" x14ac:dyDescent="0.3">
      <c r="B339" s="21"/>
      <c r="C339" s="56"/>
      <c r="D339" s="6"/>
      <c r="E339" s="6"/>
      <c r="F339" s="6"/>
      <c r="G339" s="40">
        <f>SUMIFS(Product!$D$5:$D$24,Product!$C$5:$C$24,Venta!F339)</f>
        <v>0</v>
      </c>
      <c r="H339" s="94"/>
      <c r="I339" s="41">
        <f t="shared" si="9"/>
        <v>0</v>
      </c>
      <c r="J339" s="116"/>
    </row>
    <row r="340" spans="2:10" ht="15.75" customHeight="1" x14ac:dyDescent="0.3">
      <c r="B340" s="21"/>
      <c r="C340" s="56"/>
      <c r="D340" s="6"/>
      <c r="E340" s="6"/>
      <c r="F340" s="6"/>
      <c r="G340" s="40">
        <f>SUMIFS(Product!$D$5:$D$24,Product!$C$5:$C$24,Venta!F340)</f>
        <v>0</v>
      </c>
      <c r="H340" s="94"/>
      <c r="I340" s="41">
        <f t="shared" si="9"/>
        <v>0</v>
      </c>
      <c r="J340" s="116"/>
    </row>
    <row r="341" spans="2:10" ht="15.75" customHeight="1" x14ac:dyDescent="0.3">
      <c r="B341" s="21"/>
      <c r="C341" s="56"/>
      <c r="D341" s="6"/>
      <c r="E341" s="6"/>
      <c r="F341" s="6"/>
      <c r="G341" s="40">
        <f>SUMIFS(Product!$D$5:$D$24,Product!$C$5:$C$24,Venta!F341)</f>
        <v>0</v>
      </c>
      <c r="H341" s="94"/>
      <c r="I341" s="41">
        <f t="shared" si="9"/>
        <v>0</v>
      </c>
      <c r="J341" s="116"/>
    </row>
    <row r="342" spans="2:10" ht="15.75" customHeight="1" x14ac:dyDescent="0.3">
      <c r="B342" s="21"/>
      <c r="C342" s="56"/>
      <c r="D342" s="6"/>
      <c r="E342" s="6"/>
      <c r="F342" s="6"/>
      <c r="G342" s="40">
        <f>SUMIFS(Product!$D$5:$D$24,Product!$C$5:$C$24,Venta!F342)</f>
        <v>0</v>
      </c>
      <c r="H342" s="94"/>
      <c r="I342" s="41">
        <f t="shared" si="9"/>
        <v>0</v>
      </c>
      <c r="J342" s="116"/>
    </row>
    <row r="343" spans="2:10" ht="15.75" customHeight="1" x14ac:dyDescent="0.3">
      <c r="B343" s="21"/>
      <c r="C343" s="56"/>
      <c r="D343" s="6"/>
      <c r="E343" s="6"/>
      <c r="F343" s="6"/>
      <c r="G343" s="40">
        <f>SUMIFS(Product!$D$5:$D$24,Product!$C$5:$C$24,Venta!F343)</f>
        <v>0</v>
      </c>
      <c r="H343" s="94"/>
      <c r="I343" s="41">
        <f t="shared" si="9"/>
        <v>0</v>
      </c>
      <c r="J343" s="116"/>
    </row>
    <row r="344" spans="2:10" ht="15.75" customHeight="1" x14ac:dyDescent="0.3">
      <c r="B344" s="21"/>
      <c r="C344" s="56"/>
      <c r="D344" s="6"/>
      <c r="E344" s="6"/>
      <c r="F344" s="6"/>
      <c r="G344" s="40">
        <f>SUMIFS(Product!$D$5:$D$24,Product!$C$5:$C$24,Venta!F344)</f>
        <v>0</v>
      </c>
      <c r="H344" s="94"/>
      <c r="I344" s="41">
        <f t="shared" si="9"/>
        <v>0</v>
      </c>
      <c r="J344" s="116"/>
    </row>
    <row r="345" spans="2:10" ht="15.75" customHeight="1" x14ac:dyDescent="0.3">
      <c r="B345" s="21"/>
      <c r="C345" s="56"/>
      <c r="D345" s="6"/>
      <c r="E345" s="6"/>
      <c r="F345" s="6"/>
      <c r="G345" s="40">
        <f>SUMIFS(Product!$D$5:$D$24,Product!$C$5:$C$24,Venta!F345)</f>
        <v>0</v>
      </c>
      <c r="H345" s="94"/>
      <c r="I345" s="41">
        <f t="shared" si="9"/>
        <v>0</v>
      </c>
      <c r="J345" s="116"/>
    </row>
    <row r="346" spans="2:10" ht="15.75" customHeight="1" x14ac:dyDescent="0.3">
      <c r="B346" s="21"/>
      <c r="C346" s="56"/>
      <c r="D346" s="6"/>
      <c r="E346" s="6"/>
      <c r="F346" s="6"/>
      <c r="G346" s="40">
        <f>SUMIFS(Product!$D$5:$D$24,Product!$C$5:$C$24,Venta!F346)</f>
        <v>0</v>
      </c>
      <c r="H346" s="94"/>
      <c r="I346" s="41">
        <f t="shared" si="9"/>
        <v>0</v>
      </c>
      <c r="J346" s="116"/>
    </row>
    <row r="347" spans="2:10" ht="15.75" customHeight="1" x14ac:dyDescent="0.3">
      <c r="B347" s="21"/>
      <c r="C347" s="56"/>
      <c r="D347" s="6"/>
      <c r="E347" s="6"/>
      <c r="F347" s="6"/>
      <c r="G347" s="40">
        <f>SUMIFS(Product!$D$5:$D$24,Product!$C$5:$C$24,Venta!F347)</f>
        <v>0</v>
      </c>
      <c r="H347" s="94"/>
      <c r="I347" s="41">
        <f t="shared" si="9"/>
        <v>0</v>
      </c>
      <c r="J347" s="116"/>
    </row>
    <row r="348" spans="2:10" ht="15.75" customHeight="1" x14ac:dyDescent="0.3">
      <c r="B348" s="21"/>
      <c r="C348" s="56"/>
      <c r="D348" s="6"/>
      <c r="E348" s="6"/>
      <c r="F348" s="6"/>
      <c r="G348" s="40">
        <f>SUMIFS(Product!$D$5:$D$24,Product!$C$5:$C$24,Venta!F348)</f>
        <v>0</v>
      </c>
      <c r="H348" s="94"/>
      <c r="I348" s="41">
        <f t="shared" si="9"/>
        <v>0</v>
      </c>
      <c r="J348" s="116"/>
    </row>
    <row r="349" spans="2:10" ht="15.75" customHeight="1" x14ac:dyDescent="0.3">
      <c r="B349" s="21"/>
      <c r="C349" s="56"/>
      <c r="D349" s="6"/>
      <c r="E349" s="6"/>
      <c r="F349" s="6"/>
      <c r="G349" s="40">
        <f>SUMIFS(Product!$D$5:$D$24,Product!$C$5:$C$24,Venta!F349)</f>
        <v>0</v>
      </c>
      <c r="H349" s="94"/>
      <c r="I349" s="41">
        <f t="shared" si="9"/>
        <v>0</v>
      </c>
      <c r="J349" s="116"/>
    </row>
    <row r="350" spans="2:10" ht="15.75" customHeight="1" x14ac:dyDescent="0.3">
      <c r="B350" s="21"/>
      <c r="C350" s="56"/>
      <c r="D350" s="6"/>
      <c r="E350" s="6"/>
      <c r="F350" s="6"/>
      <c r="G350" s="40">
        <f>SUMIFS(Product!$D$5:$D$24,Product!$C$5:$C$24,Venta!F350)</f>
        <v>0</v>
      </c>
      <c r="H350" s="94"/>
      <c r="I350" s="41">
        <f t="shared" si="9"/>
        <v>0</v>
      </c>
      <c r="J350" s="116"/>
    </row>
    <row r="351" spans="2:10" ht="15.75" customHeight="1" x14ac:dyDescent="0.3">
      <c r="B351" s="21"/>
      <c r="C351" s="56"/>
      <c r="D351" s="6"/>
      <c r="E351" s="6"/>
      <c r="F351" s="6"/>
      <c r="G351" s="40">
        <f>SUMIFS(Product!$D$5:$D$24,Product!$C$5:$C$24,Venta!F351)</f>
        <v>0</v>
      </c>
      <c r="H351" s="94"/>
      <c r="I351" s="41">
        <f t="shared" si="9"/>
        <v>0</v>
      </c>
      <c r="J351" s="116"/>
    </row>
    <row r="352" spans="2:10" ht="15.75" customHeight="1" x14ac:dyDescent="0.3">
      <c r="B352" s="21"/>
      <c r="C352" s="56"/>
      <c r="D352" s="6"/>
      <c r="E352" s="6"/>
      <c r="F352" s="6"/>
      <c r="G352" s="40">
        <f>SUMIFS(Product!$D$5:$D$24,Product!$C$5:$C$24,Venta!F352)</f>
        <v>0</v>
      </c>
      <c r="H352" s="94"/>
      <c r="I352" s="41">
        <f t="shared" si="9"/>
        <v>0</v>
      </c>
      <c r="J352" s="116"/>
    </row>
    <row r="353" spans="2:12" ht="15.75" customHeight="1" x14ac:dyDescent="0.3">
      <c r="B353" s="21"/>
      <c r="C353" s="56"/>
      <c r="D353" s="6"/>
      <c r="E353" s="6"/>
      <c r="F353" s="6"/>
      <c r="G353" s="40">
        <f>SUMIFS(Product!$D$5:$D$24,Product!$C$5:$C$24,Venta!F353)</f>
        <v>0</v>
      </c>
      <c r="H353" s="94"/>
      <c r="I353" s="41">
        <f t="shared" si="9"/>
        <v>0</v>
      </c>
      <c r="J353" s="116"/>
    </row>
    <row r="354" spans="2:12" ht="15.75" customHeight="1" x14ac:dyDescent="0.3">
      <c r="B354" s="21"/>
      <c r="C354" s="56"/>
      <c r="D354" s="6"/>
      <c r="E354" s="6"/>
      <c r="F354" s="6"/>
      <c r="G354" s="40">
        <f>SUMIFS(Product!$D$5:$D$24,Product!$C$5:$C$24,Venta!F354)</f>
        <v>0</v>
      </c>
      <c r="H354" s="94"/>
      <c r="I354" s="41">
        <f t="shared" si="9"/>
        <v>0</v>
      </c>
      <c r="J354" s="116"/>
    </row>
    <row r="355" spans="2:12" ht="15.75" customHeight="1" x14ac:dyDescent="0.3">
      <c r="B355" s="21"/>
      <c r="C355" s="56"/>
      <c r="D355" s="6"/>
      <c r="E355" s="6"/>
      <c r="F355" s="6"/>
      <c r="G355" s="40">
        <f>SUMIFS(Product!$D$5:$D$24,Product!$C$5:$C$24,Venta!F355)</f>
        <v>0</v>
      </c>
      <c r="H355" s="94"/>
      <c r="I355" s="41">
        <f t="shared" si="9"/>
        <v>0</v>
      </c>
      <c r="J355" s="116"/>
    </row>
    <row r="356" spans="2:12" ht="15.75" customHeight="1" x14ac:dyDescent="0.3">
      <c r="B356" s="21"/>
      <c r="C356" s="56"/>
      <c r="D356" s="6"/>
      <c r="E356" s="6"/>
      <c r="F356" s="6"/>
      <c r="G356" s="40">
        <f>SUMIFS(Product!$D$5:$D$24,Product!$C$5:$C$24,Venta!F356)</f>
        <v>0</v>
      </c>
      <c r="H356" s="94"/>
      <c r="I356" s="41">
        <f t="shared" si="9"/>
        <v>0</v>
      </c>
      <c r="J356" s="116"/>
    </row>
    <row r="357" spans="2:12" ht="15.75" customHeight="1" x14ac:dyDescent="0.3">
      <c r="B357" s="21"/>
      <c r="C357" s="56"/>
      <c r="D357" s="6"/>
      <c r="E357" s="6"/>
      <c r="F357" s="6"/>
      <c r="G357" s="40">
        <f>SUMIFS(Product!$D$5:$D$24,Product!$C$5:$C$24,Venta!F357)</f>
        <v>0</v>
      </c>
      <c r="H357" s="94"/>
      <c r="I357" s="41">
        <f t="shared" si="9"/>
        <v>0</v>
      </c>
      <c r="J357" s="116"/>
    </row>
    <row r="358" spans="2:12" ht="15.75" customHeight="1" x14ac:dyDescent="0.3">
      <c r="B358" s="21"/>
      <c r="C358" s="56"/>
      <c r="D358" s="6"/>
      <c r="E358" s="6"/>
      <c r="F358" s="6"/>
      <c r="G358" s="40">
        <f>SUMIFS(Product!$D$5:$D$24,Product!$C$5:$C$24,Venta!F358)</f>
        <v>0</v>
      </c>
      <c r="H358" s="94"/>
      <c r="I358" s="41">
        <f t="shared" si="9"/>
        <v>0</v>
      </c>
      <c r="J358" s="116"/>
    </row>
    <row r="359" spans="2:12" ht="15.75" customHeight="1" x14ac:dyDescent="0.3">
      <c r="B359" s="21"/>
      <c r="C359" s="56"/>
      <c r="D359" s="6"/>
      <c r="E359" s="6"/>
      <c r="F359" s="6"/>
      <c r="G359" s="40">
        <f>SUMIFS(Product!$D$5:$D$24,Product!$C$5:$C$24,Venta!F359)</f>
        <v>0</v>
      </c>
      <c r="H359" s="94"/>
      <c r="I359" s="41">
        <f t="shared" si="9"/>
        <v>0</v>
      </c>
      <c r="J359" s="116"/>
    </row>
    <row r="360" spans="2:12" ht="15.75" customHeight="1" x14ac:dyDescent="0.3">
      <c r="B360" s="21"/>
      <c r="C360" s="56"/>
      <c r="D360" s="6"/>
      <c r="E360" s="6"/>
      <c r="F360" s="6"/>
      <c r="G360" s="40">
        <f>SUMIFS(Product!$D$5:$D$24,Product!$C$5:$C$24,Venta!F360)</f>
        <v>0</v>
      </c>
      <c r="H360" s="94"/>
      <c r="I360" s="41">
        <f t="shared" si="9"/>
        <v>0</v>
      </c>
      <c r="J360" s="116"/>
    </row>
    <row r="361" spans="2:12" ht="15.75" customHeight="1" x14ac:dyDescent="0.3">
      <c r="B361" s="21"/>
      <c r="C361" s="56"/>
      <c r="D361" s="6"/>
      <c r="E361" s="6"/>
      <c r="F361" s="6"/>
      <c r="G361" s="40">
        <f>SUMIFS(Product!$D$5:$D$24,Product!$C$5:$C$24,Venta!F361)</f>
        <v>0</v>
      </c>
      <c r="H361" s="94"/>
      <c r="I361" s="41">
        <f t="shared" si="9"/>
        <v>0</v>
      </c>
      <c r="J361" s="116"/>
    </row>
    <row r="362" spans="2:12" ht="15.75" customHeight="1" x14ac:dyDescent="0.3">
      <c r="B362" s="21"/>
      <c r="C362" s="56"/>
      <c r="D362" s="6"/>
      <c r="E362" s="6"/>
      <c r="F362" s="6"/>
      <c r="G362" s="40">
        <f>SUMIFS(Product!$D$5:$D$24,Product!$C$5:$C$24,Venta!F362)</f>
        <v>0</v>
      </c>
      <c r="H362" s="94"/>
      <c r="I362" s="41">
        <f t="shared" si="9"/>
        <v>0</v>
      </c>
      <c r="J362" s="116"/>
    </row>
    <row r="363" spans="2:12" ht="15.75" customHeight="1" x14ac:dyDescent="0.3">
      <c r="B363" s="21"/>
      <c r="C363" s="56"/>
      <c r="D363" s="6"/>
      <c r="E363" s="6"/>
      <c r="F363" s="6"/>
      <c r="G363" s="40">
        <f>SUMIFS(Product!$D$5:$D$24,Product!$C$5:$C$24,Venta!F363)</f>
        <v>0</v>
      </c>
      <c r="H363" s="94"/>
      <c r="I363" s="41">
        <f t="shared" si="9"/>
        <v>0</v>
      </c>
      <c r="J363" s="116"/>
    </row>
    <row r="364" spans="2:12" ht="15.75" customHeight="1" x14ac:dyDescent="0.3">
      <c r="B364" s="21"/>
      <c r="C364" s="56"/>
      <c r="D364" s="6"/>
      <c r="E364" s="6"/>
      <c r="F364" s="6"/>
      <c r="G364" s="40">
        <f>SUMIFS(Product!$D$5:$D$24,Product!$C$5:$C$24,Venta!F364)</f>
        <v>0</v>
      </c>
      <c r="H364" s="94"/>
      <c r="I364" s="41">
        <f t="shared" si="9"/>
        <v>0</v>
      </c>
      <c r="J364" s="116"/>
    </row>
    <row r="365" spans="2:12" ht="15.75" customHeight="1" thickBot="1" x14ac:dyDescent="0.35">
      <c r="B365" s="22"/>
      <c r="C365" s="56"/>
      <c r="D365" s="23"/>
      <c r="E365" s="23"/>
      <c r="F365" s="23"/>
      <c r="G365" s="42">
        <f>SUMIFS(Product!$D$5:$D$24,Product!$C$5:$C$24,Venta!F365)</f>
        <v>0</v>
      </c>
      <c r="H365" s="95"/>
      <c r="I365" s="43">
        <f t="shared" si="9"/>
        <v>0</v>
      </c>
      <c r="J365" s="117"/>
    </row>
    <row r="366" spans="2:12" s="15" customFormat="1" ht="15.75" customHeight="1" x14ac:dyDescent="0.25">
      <c r="C366" s="54"/>
      <c r="G366" s="44"/>
      <c r="H366" s="72"/>
      <c r="I366" s="44"/>
      <c r="J366" s="17"/>
      <c r="K366" s="149"/>
      <c r="L366" s="78"/>
    </row>
    <row r="367" spans="2:12" s="15" customFormat="1" ht="15.75" customHeight="1" x14ac:dyDescent="0.25">
      <c r="C367" s="54"/>
      <c r="G367" s="44"/>
      <c r="H367" s="72"/>
      <c r="I367" s="44"/>
      <c r="J367" s="17"/>
      <c r="K367" s="149"/>
      <c r="L367" s="78"/>
    </row>
    <row r="368" spans="2:12" s="15" customFormat="1" ht="15.75" customHeight="1" x14ac:dyDescent="0.25">
      <c r="C368" s="54"/>
      <c r="H368" s="72"/>
      <c r="J368" s="17"/>
      <c r="K368" s="149"/>
      <c r="L368" s="78"/>
    </row>
    <row r="369" spans="3:12" s="15" customFormat="1" ht="15.75" customHeight="1" x14ac:dyDescent="0.25">
      <c r="C369" s="54"/>
      <c r="H369" s="72"/>
      <c r="J369" s="17"/>
      <c r="K369" s="149"/>
      <c r="L369" s="78"/>
    </row>
    <row r="370" spans="3:12" s="15" customFormat="1" ht="15.75" customHeight="1" x14ac:dyDescent="0.25">
      <c r="C370" s="54"/>
      <c r="H370" s="72"/>
      <c r="J370" s="17"/>
      <c r="K370" s="149"/>
      <c r="L370" s="78"/>
    </row>
    <row r="371" spans="3:12" s="15" customFormat="1" ht="15.75" customHeight="1" x14ac:dyDescent="0.25">
      <c r="C371" s="54"/>
      <c r="H371" s="72"/>
      <c r="J371" s="17"/>
      <c r="K371" s="149"/>
      <c r="L371" s="78"/>
    </row>
    <row r="372" spans="3:12" s="15" customFormat="1" ht="15.75" customHeight="1" x14ac:dyDescent="0.25">
      <c r="C372" s="54"/>
      <c r="H372" s="72"/>
      <c r="J372" s="17"/>
      <c r="K372" s="149"/>
      <c r="L372" s="78"/>
    </row>
    <row r="373" spans="3:12" s="15" customFormat="1" ht="15.75" customHeight="1" x14ac:dyDescent="0.25">
      <c r="C373" s="54"/>
      <c r="H373" s="72"/>
      <c r="J373" s="17"/>
      <c r="K373" s="149"/>
      <c r="L373" s="78"/>
    </row>
    <row r="374" spans="3:12" s="15" customFormat="1" ht="15.75" customHeight="1" x14ac:dyDescent="0.25">
      <c r="C374" s="54"/>
      <c r="H374" s="72"/>
      <c r="J374" s="17"/>
      <c r="K374" s="149"/>
      <c r="L374" s="78"/>
    </row>
    <row r="375" spans="3:12" s="15" customFormat="1" ht="15.75" customHeight="1" x14ac:dyDescent="0.25">
      <c r="C375" s="54"/>
      <c r="H375" s="72"/>
      <c r="J375" s="17"/>
      <c r="K375" s="149"/>
      <c r="L375" s="78"/>
    </row>
    <row r="376" spans="3:12" s="15" customFormat="1" ht="15.75" customHeight="1" x14ac:dyDescent="0.25">
      <c r="C376" s="54"/>
      <c r="H376" s="72"/>
      <c r="J376" s="17"/>
      <c r="K376" s="149"/>
      <c r="L376" s="78"/>
    </row>
    <row r="377" spans="3:12" s="15" customFormat="1" ht="15.75" customHeight="1" x14ac:dyDescent="0.25">
      <c r="C377" s="54"/>
      <c r="H377" s="72"/>
      <c r="J377" s="17"/>
      <c r="K377" s="149"/>
      <c r="L377" s="78"/>
    </row>
    <row r="378" spans="3:12" s="15" customFormat="1" ht="15.75" customHeight="1" x14ac:dyDescent="0.25">
      <c r="C378" s="54"/>
      <c r="H378" s="72"/>
      <c r="J378" s="17"/>
      <c r="K378" s="149"/>
      <c r="L378" s="78"/>
    </row>
    <row r="379" spans="3:12" s="15" customFormat="1" ht="15.75" customHeight="1" x14ac:dyDescent="0.25">
      <c r="C379" s="54"/>
      <c r="H379" s="72"/>
      <c r="J379" s="17"/>
      <c r="K379" s="149"/>
      <c r="L379" s="78"/>
    </row>
    <row r="380" spans="3:12" s="15" customFormat="1" ht="15.75" customHeight="1" x14ac:dyDescent="0.25">
      <c r="C380" s="54"/>
      <c r="H380" s="72"/>
      <c r="J380" s="17"/>
      <c r="K380" s="149"/>
      <c r="L380" s="78"/>
    </row>
    <row r="381" spans="3:12" s="15" customFormat="1" ht="15.75" customHeight="1" x14ac:dyDescent="0.25">
      <c r="C381" s="54"/>
      <c r="H381" s="72"/>
      <c r="J381" s="17"/>
      <c r="K381" s="149"/>
      <c r="L381" s="78"/>
    </row>
    <row r="382" spans="3:12" s="15" customFormat="1" ht="15.75" customHeight="1" x14ac:dyDescent="0.25">
      <c r="C382" s="54"/>
      <c r="H382" s="72"/>
      <c r="J382" s="17"/>
      <c r="K382" s="149"/>
      <c r="L382" s="78"/>
    </row>
    <row r="383" spans="3:12" s="15" customFormat="1" ht="15.75" customHeight="1" x14ac:dyDescent="0.25">
      <c r="C383" s="54"/>
      <c r="H383" s="72"/>
      <c r="J383" s="17"/>
      <c r="K383" s="149"/>
      <c r="L383" s="78"/>
    </row>
    <row r="384" spans="3:12" s="15" customFormat="1" ht="15.75" customHeight="1" x14ac:dyDescent="0.25">
      <c r="C384" s="54"/>
      <c r="H384" s="72"/>
      <c r="J384" s="17"/>
      <c r="K384" s="149"/>
      <c r="L384" s="78"/>
    </row>
    <row r="385" spans="3:12" s="15" customFormat="1" ht="15.75" customHeight="1" x14ac:dyDescent="0.25">
      <c r="C385" s="54"/>
      <c r="H385" s="72"/>
      <c r="J385" s="17"/>
      <c r="K385" s="149"/>
      <c r="L385" s="78"/>
    </row>
    <row r="386" spans="3:12" s="15" customFormat="1" ht="15.75" customHeight="1" x14ac:dyDescent="0.25">
      <c r="C386" s="54"/>
      <c r="H386" s="72"/>
      <c r="J386" s="17"/>
      <c r="K386" s="149"/>
      <c r="L386" s="78"/>
    </row>
    <row r="387" spans="3:12" s="15" customFormat="1" ht="15.75" customHeight="1" x14ac:dyDescent="0.25">
      <c r="C387" s="54"/>
      <c r="H387" s="72"/>
      <c r="J387" s="17"/>
      <c r="K387" s="149"/>
      <c r="L387" s="78"/>
    </row>
    <row r="388" spans="3:12" s="15" customFormat="1" ht="15.75" customHeight="1" x14ac:dyDescent="0.25">
      <c r="C388" s="54"/>
      <c r="H388" s="72"/>
      <c r="J388" s="17"/>
      <c r="K388" s="149"/>
      <c r="L388" s="78"/>
    </row>
    <row r="389" spans="3:12" s="15" customFormat="1" ht="15.75" customHeight="1" x14ac:dyDescent="0.25">
      <c r="C389" s="54"/>
      <c r="H389" s="72"/>
      <c r="J389" s="17"/>
      <c r="K389" s="149"/>
      <c r="L389" s="78"/>
    </row>
    <row r="390" spans="3:12" s="15" customFormat="1" ht="15.75" customHeight="1" x14ac:dyDescent="0.25">
      <c r="C390" s="54"/>
      <c r="H390" s="72"/>
      <c r="J390" s="17"/>
      <c r="K390" s="149"/>
      <c r="L390" s="78"/>
    </row>
    <row r="391" spans="3:12" s="15" customFormat="1" ht="15.75" customHeight="1" x14ac:dyDescent="0.25">
      <c r="C391" s="54"/>
      <c r="H391" s="72"/>
      <c r="J391" s="17"/>
      <c r="K391" s="149"/>
      <c r="L391" s="78"/>
    </row>
    <row r="392" spans="3:12" s="15" customFormat="1" ht="15.75" customHeight="1" x14ac:dyDescent="0.25">
      <c r="C392" s="54"/>
      <c r="H392" s="72"/>
      <c r="J392" s="17"/>
      <c r="K392" s="149"/>
      <c r="L392" s="78"/>
    </row>
    <row r="393" spans="3:12" s="15" customFormat="1" ht="15.75" customHeight="1" x14ac:dyDescent="0.25">
      <c r="C393" s="54"/>
      <c r="H393" s="72"/>
      <c r="J393" s="17"/>
      <c r="K393" s="149"/>
      <c r="L393" s="78"/>
    </row>
    <row r="394" spans="3:12" s="15" customFormat="1" ht="15.75" customHeight="1" x14ac:dyDescent="0.25">
      <c r="C394" s="54"/>
      <c r="H394" s="72"/>
      <c r="J394" s="17"/>
      <c r="K394" s="149"/>
      <c r="L394" s="78"/>
    </row>
    <row r="395" spans="3:12" s="15" customFormat="1" ht="15.75" customHeight="1" x14ac:dyDescent="0.25">
      <c r="C395" s="54"/>
      <c r="H395" s="72"/>
      <c r="J395" s="17"/>
      <c r="K395" s="149"/>
      <c r="L395" s="78"/>
    </row>
    <row r="396" spans="3:12" s="15" customFormat="1" ht="15.75" customHeight="1" x14ac:dyDescent="0.25">
      <c r="C396" s="54"/>
      <c r="H396" s="72"/>
      <c r="J396" s="17"/>
      <c r="K396" s="149"/>
      <c r="L396" s="78"/>
    </row>
    <row r="397" spans="3:12" s="15" customFormat="1" ht="15.75" customHeight="1" x14ac:dyDescent="0.25">
      <c r="C397" s="54"/>
      <c r="H397" s="72"/>
      <c r="J397" s="17"/>
      <c r="K397" s="149"/>
      <c r="L397" s="78"/>
    </row>
    <row r="398" spans="3:12" s="15" customFormat="1" ht="15.75" customHeight="1" x14ac:dyDescent="0.25">
      <c r="C398" s="54"/>
      <c r="H398" s="72"/>
      <c r="J398" s="17"/>
      <c r="K398" s="149"/>
      <c r="L398" s="78"/>
    </row>
    <row r="399" spans="3:12" s="15" customFormat="1" ht="15.75" customHeight="1" x14ac:dyDescent="0.25">
      <c r="C399" s="54"/>
      <c r="H399" s="72"/>
      <c r="J399" s="17"/>
      <c r="K399" s="149"/>
      <c r="L399" s="78"/>
    </row>
    <row r="400" spans="3:12" s="15" customFormat="1" ht="15.75" customHeight="1" x14ac:dyDescent="0.25">
      <c r="C400" s="54"/>
      <c r="H400" s="72"/>
      <c r="J400" s="17"/>
      <c r="K400" s="149"/>
      <c r="L400" s="78"/>
    </row>
    <row r="401" spans="3:12" s="15" customFormat="1" ht="15.75" customHeight="1" x14ac:dyDescent="0.25">
      <c r="C401" s="54"/>
      <c r="H401" s="72"/>
      <c r="J401" s="17"/>
      <c r="K401" s="149"/>
      <c r="L401" s="78"/>
    </row>
    <row r="402" spans="3:12" s="15" customFormat="1" ht="15.75" customHeight="1" x14ac:dyDescent="0.25">
      <c r="C402" s="54"/>
      <c r="H402" s="72"/>
      <c r="J402" s="17"/>
      <c r="K402" s="149"/>
      <c r="L402" s="78"/>
    </row>
    <row r="403" spans="3:12" s="15" customFormat="1" ht="15.75" customHeight="1" x14ac:dyDescent="0.25">
      <c r="C403" s="54"/>
      <c r="H403" s="72"/>
      <c r="J403" s="17"/>
      <c r="K403" s="149"/>
      <c r="L403" s="78"/>
    </row>
    <row r="404" spans="3:12" s="15" customFormat="1" ht="15.75" customHeight="1" x14ac:dyDescent="0.25">
      <c r="C404" s="54"/>
      <c r="H404" s="72"/>
      <c r="J404" s="17"/>
      <c r="K404" s="149"/>
      <c r="L404" s="78"/>
    </row>
    <row r="405" spans="3:12" s="15" customFormat="1" ht="15.75" customHeight="1" x14ac:dyDescent="0.25">
      <c r="C405" s="54"/>
      <c r="H405" s="72"/>
      <c r="J405" s="17"/>
      <c r="K405" s="149"/>
      <c r="L405" s="78"/>
    </row>
    <row r="406" spans="3:12" s="15" customFormat="1" ht="15.75" customHeight="1" x14ac:dyDescent="0.25">
      <c r="C406" s="54"/>
      <c r="H406" s="72"/>
      <c r="J406" s="17"/>
      <c r="K406" s="149"/>
      <c r="L406" s="78"/>
    </row>
    <row r="407" spans="3:12" s="15" customFormat="1" ht="15.75" customHeight="1" x14ac:dyDescent="0.25">
      <c r="C407" s="54"/>
      <c r="H407" s="72"/>
      <c r="J407" s="17"/>
      <c r="K407" s="149"/>
      <c r="L407" s="78"/>
    </row>
    <row r="408" spans="3:12" s="15" customFormat="1" ht="15.75" customHeight="1" x14ac:dyDescent="0.25">
      <c r="C408" s="54"/>
      <c r="H408" s="72"/>
      <c r="J408" s="17"/>
      <c r="K408" s="149"/>
      <c r="L408" s="78"/>
    </row>
    <row r="409" spans="3:12" s="15" customFormat="1" ht="15.75" customHeight="1" x14ac:dyDescent="0.25">
      <c r="C409" s="54"/>
      <c r="H409" s="72"/>
      <c r="J409" s="17"/>
      <c r="K409" s="149"/>
      <c r="L409" s="78"/>
    </row>
    <row r="410" spans="3:12" s="15" customFormat="1" ht="15.75" customHeight="1" x14ac:dyDescent="0.25">
      <c r="C410" s="54"/>
      <c r="H410" s="72"/>
      <c r="J410" s="17"/>
      <c r="K410" s="149"/>
      <c r="L410" s="78"/>
    </row>
    <row r="411" spans="3:12" s="15" customFormat="1" ht="15.75" customHeight="1" x14ac:dyDescent="0.25">
      <c r="C411" s="54"/>
      <c r="H411" s="72"/>
      <c r="J411" s="17"/>
      <c r="K411" s="149"/>
      <c r="L411" s="78"/>
    </row>
    <row r="412" spans="3:12" s="15" customFormat="1" ht="15.75" customHeight="1" x14ac:dyDescent="0.25">
      <c r="C412" s="54"/>
      <c r="H412" s="72"/>
      <c r="J412" s="17"/>
      <c r="K412" s="149"/>
      <c r="L412" s="78"/>
    </row>
    <row r="413" spans="3:12" s="15" customFormat="1" ht="15.75" customHeight="1" x14ac:dyDescent="0.25">
      <c r="C413" s="54"/>
      <c r="H413" s="72"/>
      <c r="J413" s="17"/>
      <c r="K413" s="149"/>
      <c r="L413" s="78"/>
    </row>
    <row r="414" spans="3:12" s="15" customFormat="1" ht="15.75" customHeight="1" x14ac:dyDescent="0.25">
      <c r="C414" s="54"/>
      <c r="H414" s="72"/>
      <c r="J414" s="17"/>
      <c r="K414" s="149"/>
      <c r="L414" s="78"/>
    </row>
    <row r="415" spans="3:12" s="15" customFormat="1" ht="15.75" customHeight="1" x14ac:dyDescent="0.25">
      <c r="C415" s="54"/>
      <c r="H415" s="72"/>
      <c r="J415" s="17"/>
      <c r="K415" s="149"/>
      <c r="L415" s="78"/>
    </row>
    <row r="416" spans="3:12" s="15" customFormat="1" ht="15.75" customHeight="1" x14ac:dyDescent="0.25">
      <c r="C416" s="54"/>
      <c r="H416" s="72"/>
      <c r="J416" s="17"/>
      <c r="K416" s="149"/>
      <c r="L416" s="78"/>
    </row>
    <row r="417" spans="3:12" s="15" customFormat="1" ht="15.75" customHeight="1" x14ac:dyDescent="0.25">
      <c r="C417" s="54"/>
      <c r="H417" s="72"/>
      <c r="J417" s="17"/>
      <c r="K417" s="149"/>
      <c r="L417" s="78"/>
    </row>
    <row r="418" spans="3:12" s="15" customFormat="1" ht="15.75" customHeight="1" x14ac:dyDescent="0.25">
      <c r="C418" s="54"/>
      <c r="H418" s="72"/>
      <c r="J418" s="17"/>
      <c r="K418" s="149"/>
      <c r="L418" s="78"/>
    </row>
    <row r="419" spans="3:12" s="15" customFormat="1" ht="15.75" customHeight="1" x14ac:dyDescent="0.25">
      <c r="C419" s="54"/>
      <c r="H419" s="72"/>
      <c r="J419" s="17"/>
      <c r="K419" s="149"/>
      <c r="L419" s="78"/>
    </row>
    <row r="420" spans="3:12" s="15" customFormat="1" ht="15.75" customHeight="1" x14ac:dyDescent="0.25">
      <c r="C420" s="54"/>
      <c r="H420" s="72"/>
      <c r="J420" s="17"/>
      <c r="K420" s="149"/>
      <c r="L420" s="78"/>
    </row>
    <row r="421" spans="3:12" s="15" customFormat="1" ht="15.75" customHeight="1" x14ac:dyDescent="0.25">
      <c r="C421" s="54"/>
      <c r="H421" s="72"/>
      <c r="J421" s="17"/>
      <c r="K421" s="149"/>
      <c r="L421" s="78"/>
    </row>
    <row r="422" spans="3:12" s="15" customFormat="1" ht="15.75" customHeight="1" x14ac:dyDescent="0.25">
      <c r="C422" s="54"/>
      <c r="H422" s="72"/>
      <c r="J422" s="17"/>
      <c r="K422" s="149"/>
      <c r="L422" s="78"/>
    </row>
    <row r="423" spans="3:12" s="15" customFormat="1" ht="15.75" customHeight="1" x14ac:dyDescent="0.25">
      <c r="C423" s="54"/>
      <c r="H423" s="72"/>
      <c r="J423" s="17"/>
      <c r="K423" s="149"/>
      <c r="L423" s="78"/>
    </row>
    <row r="424" spans="3:12" s="15" customFormat="1" ht="15.75" customHeight="1" x14ac:dyDescent="0.25">
      <c r="C424" s="54"/>
      <c r="H424" s="72"/>
      <c r="J424" s="17"/>
      <c r="K424" s="149"/>
      <c r="L424" s="78"/>
    </row>
    <row r="425" spans="3:12" s="15" customFormat="1" ht="15.75" customHeight="1" x14ac:dyDescent="0.25">
      <c r="C425" s="54"/>
      <c r="H425" s="72"/>
      <c r="J425" s="17"/>
      <c r="K425" s="149"/>
      <c r="L425" s="78"/>
    </row>
    <row r="426" spans="3:12" s="15" customFormat="1" ht="15.75" customHeight="1" x14ac:dyDescent="0.25">
      <c r="C426" s="54"/>
      <c r="H426" s="72"/>
      <c r="J426" s="17"/>
      <c r="K426" s="149"/>
      <c r="L426" s="78"/>
    </row>
    <row r="427" spans="3:12" s="15" customFormat="1" ht="15.75" customHeight="1" x14ac:dyDescent="0.25">
      <c r="C427" s="54"/>
      <c r="H427" s="72"/>
      <c r="J427" s="17"/>
      <c r="K427" s="149"/>
      <c r="L427" s="78"/>
    </row>
    <row r="428" spans="3:12" s="15" customFormat="1" ht="15.75" customHeight="1" x14ac:dyDescent="0.25">
      <c r="C428" s="54"/>
      <c r="H428" s="72"/>
      <c r="J428" s="17"/>
      <c r="K428" s="149"/>
      <c r="L428" s="78"/>
    </row>
    <row r="429" spans="3:12" s="15" customFormat="1" ht="15.75" customHeight="1" x14ac:dyDescent="0.25">
      <c r="C429" s="54"/>
      <c r="H429" s="72"/>
      <c r="J429" s="17"/>
      <c r="K429" s="149"/>
      <c r="L429" s="78"/>
    </row>
    <row r="430" spans="3:12" s="15" customFormat="1" ht="15.75" customHeight="1" x14ac:dyDescent="0.25">
      <c r="C430" s="54"/>
      <c r="H430" s="72"/>
      <c r="J430" s="17"/>
      <c r="K430" s="149"/>
      <c r="L430" s="78"/>
    </row>
    <row r="431" spans="3:12" s="15" customFormat="1" ht="15.75" customHeight="1" x14ac:dyDescent="0.25">
      <c r="C431" s="54"/>
      <c r="H431" s="72"/>
      <c r="J431" s="17"/>
      <c r="K431" s="149"/>
      <c r="L431" s="78"/>
    </row>
    <row r="432" spans="3:12" s="15" customFormat="1" ht="15.75" customHeight="1" x14ac:dyDescent="0.25">
      <c r="C432" s="54"/>
      <c r="H432" s="72"/>
      <c r="J432" s="17"/>
      <c r="K432" s="149"/>
      <c r="L432" s="78"/>
    </row>
    <row r="433" spans="3:12" s="15" customFormat="1" ht="15.75" customHeight="1" x14ac:dyDescent="0.25">
      <c r="C433" s="54"/>
      <c r="H433" s="72"/>
      <c r="J433" s="17"/>
      <c r="K433" s="149"/>
      <c r="L433" s="78"/>
    </row>
    <row r="434" spans="3:12" s="15" customFormat="1" ht="15.75" customHeight="1" x14ac:dyDescent="0.25">
      <c r="C434" s="54"/>
      <c r="H434" s="72"/>
      <c r="J434" s="17"/>
      <c r="K434" s="149"/>
      <c r="L434" s="78"/>
    </row>
    <row r="435" spans="3:12" s="15" customFormat="1" ht="15.75" customHeight="1" x14ac:dyDescent="0.25">
      <c r="C435" s="54"/>
      <c r="H435" s="72"/>
      <c r="J435" s="17"/>
      <c r="K435" s="149"/>
      <c r="L435" s="78"/>
    </row>
    <row r="436" spans="3:12" s="15" customFormat="1" ht="15.75" customHeight="1" x14ac:dyDescent="0.25">
      <c r="C436" s="54"/>
      <c r="H436" s="72"/>
      <c r="J436" s="17"/>
      <c r="K436" s="149"/>
      <c r="L436" s="78"/>
    </row>
    <row r="437" spans="3:12" s="15" customFormat="1" ht="15.75" customHeight="1" x14ac:dyDescent="0.25">
      <c r="C437" s="54"/>
      <c r="H437" s="72"/>
      <c r="J437" s="17"/>
      <c r="K437" s="149"/>
      <c r="L437" s="78"/>
    </row>
    <row r="438" spans="3:12" s="15" customFormat="1" ht="15.75" customHeight="1" x14ac:dyDescent="0.25">
      <c r="C438" s="54"/>
      <c r="H438" s="72"/>
      <c r="J438" s="17"/>
      <c r="K438" s="149"/>
      <c r="L438" s="78"/>
    </row>
    <row r="439" spans="3:12" s="15" customFormat="1" ht="15.75" customHeight="1" x14ac:dyDescent="0.25">
      <c r="C439" s="54"/>
      <c r="H439" s="72"/>
      <c r="J439" s="17"/>
      <c r="K439" s="149"/>
      <c r="L439" s="78"/>
    </row>
    <row r="440" spans="3:12" s="15" customFormat="1" ht="15.75" customHeight="1" x14ac:dyDescent="0.25">
      <c r="C440" s="54"/>
      <c r="H440" s="72"/>
      <c r="J440" s="17"/>
      <c r="K440" s="149"/>
      <c r="L440" s="78"/>
    </row>
    <row r="441" spans="3:12" s="15" customFormat="1" ht="15.75" customHeight="1" x14ac:dyDescent="0.25">
      <c r="C441" s="54"/>
      <c r="H441" s="72"/>
      <c r="J441" s="17"/>
      <c r="K441" s="149"/>
      <c r="L441" s="78"/>
    </row>
    <row r="442" spans="3:12" s="15" customFormat="1" ht="15.75" customHeight="1" x14ac:dyDescent="0.25">
      <c r="C442" s="54"/>
      <c r="H442" s="72"/>
      <c r="J442" s="17"/>
      <c r="K442" s="149"/>
      <c r="L442" s="78"/>
    </row>
    <row r="443" spans="3:12" s="15" customFormat="1" ht="15.75" customHeight="1" x14ac:dyDescent="0.25">
      <c r="C443" s="54"/>
      <c r="H443" s="72"/>
      <c r="J443" s="17"/>
      <c r="K443" s="149"/>
      <c r="L443" s="78"/>
    </row>
    <row r="444" spans="3:12" s="15" customFormat="1" ht="15.75" customHeight="1" x14ac:dyDescent="0.25">
      <c r="C444" s="54"/>
      <c r="H444" s="72"/>
      <c r="J444" s="17"/>
      <c r="K444" s="149"/>
      <c r="L444" s="78"/>
    </row>
    <row r="445" spans="3:12" s="15" customFormat="1" ht="15.75" customHeight="1" x14ac:dyDescent="0.25">
      <c r="C445" s="54"/>
      <c r="H445" s="72"/>
      <c r="J445" s="17"/>
      <c r="K445" s="149"/>
      <c r="L445" s="78"/>
    </row>
    <row r="446" spans="3:12" s="15" customFormat="1" ht="15.75" customHeight="1" x14ac:dyDescent="0.25">
      <c r="C446" s="54"/>
      <c r="H446" s="72"/>
      <c r="J446" s="17"/>
      <c r="K446" s="149"/>
      <c r="L446" s="78"/>
    </row>
    <row r="447" spans="3:12" s="15" customFormat="1" ht="15.75" customHeight="1" x14ac:dyDescent="0.25">
      <c r="C447" s="54"/>
      <c r="H447" s="72"/>
      <c r="J447" s="17"/>
      <c r="K447" s="149"/>
      <c r="L447" s="78"/>
    </row>
    <row r="448" spans="3:12" s="15" customFormat="1" ht="15.75" customHeight="1" x14ac:dyDescent="0.25">
      <c r="C448" s="54"/>
      <c r="H448" s="72"/>
      <c r="J448" s="17"/>
      <c r="K448" s="149"/>
      <c r="L448" s="78"/>
    </row>
    <row r="449" spans="3:12" s="15" customFormat="1" ht="15.75" customHeight="1" x14ac:dyDescent="0.25">
      <c r="C449" s="54"/>
      <c r="H449" s="72"/>
      <c r="J449" s="17"/>
      <c r="K449" s="149"/>
      <c r="L449" s="78"/>
    </row>
    <row r="450" spans="3:12" s="15" customFormat="1" ht="15.75" customHeight="1" x14ac:dyDescent="0.25">
      <c r="C450" s="54"/>
      <c r="H450" s="72"/>
      <c r="J450" s="17"/>
      <c r="K450" s="149"/>
      <c r="L450" s="78"/>
    </row>
    <row r="451" spans="3:12" s="15" customFormat="1" ht="15.75" customHeight="1" x14ac:dyDescent="0.25">
      <c r="C451" s="54"/>
      <c r="H451" s="72"/>
      <c r="J451" s="17"/>
      <c r="K451" s="149"/>
      <c r="L451" s="78"/>
    </row>
    <row r="452" spans="3:12" s="15" customFormat="1" ht="15.75" customHeight="1" x14ac:dyDescent="0.25">
      <c r="C452" s="54"/>
      <c r="H452" s="72"/>
      <c r="J452" s="17"/>
      <c r="K452" s="149"/>
      <c r="L452" s="78"/>
    </row>
    <row r="453" spans="3:12" s="15" customFormat="1" ht="15.75" customHeight="1" x14ac:dyDescent="0.25">
      <c r="C453" s="54"/>
      <c r="H453" s="72"/>
      <c r="J453" s="17"/>
      <c r="K453" s="149"/>
      <c r="L453" s="78"/>
    </row>
    <row r="454" spans="3:12" s="15" customFormat="1" ht="15.75" customHeight="1" x14ac:dyDescent="0.25">
      <c r="C454" s="54"/>
      <c r="H454" s="72"/>
      <c r="J454" s="17"/>
      <c r="K454" s="149"/>
      <c r="L454" s="78"/>
    </row>
    <row r="455" spans="3:12" s="15" customFormat="1" ht="15.75" customHeight="1" x14ac:dyDescent="0.25">
      <c r="C455" s="54"/>
      <c r="H455" s="72"/>
      <c r="J455" s="17"/>
      <c r="K455" s="149"/>
      <c r="L455" s="78"/>
    </row>
    <row r="456" spans="3:12" s="15" customFormat="1" ht="15.75" customHeight="1" x14ac:dyDescent="0.25">
      <c r="C456" s="54"/>
      <c r="H456" s="72"/>
      <c r="J456" s="17"/>
      <c r="K456" s="149"/>
      <c r="L456" s="78"/>
    </row>
    <row r="457" spans="3:12" s="15" customFormat="1" ht="15.75" customHeight="1" x14ac:dyDescent="0.25">
      <c r="C457" s="54"/>
      <c r="H457" s="72"/>
      <c r="J457" s="17"/>
      <c r="K457" s="149"/>
      <c r="L457" s="78"/>
    </row>
    <row r="458" spans="3:12" s="15" customFormat="1" ht="15.75" customHeight="1" x14ac:dyDescent="0.25">
      <c r="C458" s="54"/>
      <c r="H458" s="72"/>
      <c r="J458" s="17"/>
      <c r="K458" s="149"/>
      <c r="L458" s="78"/>
    </row>
    <row r="459" spans="3:12" s="15" customFormat="1" ht="15.75" customHeight="1" x14ac:dyDescent="0.25">
      <c r="C459" s="54"/>
      <c r="H459" s="72"/>
      <c r="J459" s="17"/>
      <c r="K459" s="149"/>
      <c r="L459" s="78"/>
    </row>
    <row r="460" spans="3:12" s="15" customFormat="1" ht="15.75" customHeight="1" x14ac:dyDescent="0.25">
      <c r="C460" s="54"/>
      <c r="H460" s="72"/>
      <c r="J460" s="17"/>
      <c r="K460" s="149"/>
      <c r="L460" s="78"/>
    </row>
    <row r="461" spans="3:12" s="15" customFormat="1" ht="15.75" customHeight="1" x14ac:dyDescent="0.25">
      <c r="C461" s="54"/>
      <c r="H461" s="72"/>
      <c r="J461" s="17"/>
      <c r="K461" s="149"/>
      <c r="L461" s="78"/>
    </row>
    <row r="462" spans="3:12" s="15" customFormat="1" ht="15.75" customHeight="1" x14ac:dyDescent="0.25">
      <c r="C462" s="54"/>
      <c r="H462" s="72"/>
      <c r="J462" s="17"/>
      <c r="K462" s="149"/>
      <c r="L462" s="78"/>
    </row>
    <row r="463" spans="3:12" s="15" customFormat="1" ht="15.75" customHeight="1" x14ac:dyDescent="0.25">
      <c r="C463" s="54"/>
      <c r="H463" s="72"/>
      <c r="J463" s="17"/>
      <c r="K463" s="149"/>
      <c r="L463" s="78"/>
    </row>
    <row r="464" spans="3:12" s="15" customFormat="1" ht="15.75" customHeight="1" x14ac:dyDescent="0.25">
      <c r="C464" s="54"/>
      <c r="H464" s="72"/>
      <c r="J464" s="17"/>
      <c r="K464" s="149"/>
      <c r="L464" s="78"/>
    </row>
    <row r="465" spans="3:12" s="15" customFormat="1" ht="15.75" customHeight="1" x14ac:dyDescent="0.25">
      <c r="C465" s="54"/>
      <c r="H465" s="72"/>
      <c r="J465" s="17"/>
      <c r="K465" s="149"/>
      <c r="L465" s="78"/>
    </row>
    <row r="466" spans="3:12" s="15" customFormat="1" ht="15.75" customHeight="1" x14ac:dyDescent="0.25">
      <c r="C466" s="54"/>
      <c r="H466" s="72"/>
      <c r="J466" s="17"/>
      <c r="K466" s="149"/>
      <c r="L466" s="78"/>
    </row>
    <row r="467" spans="3:12" s="15" customFormat="1" ht="15.75" customHeight="1" x14ac:dyDescent="0.25">
      <c r="C467" s="54"/>
      <c r="H467" s="72"/>
      <c r="J467" s="17"/>
      <c r="K467" s="149"/>
      <c r="L467" s="78"/>
    </row>
    <row r="468" spans="3:12" s="15" customFormat="1" ht="15.75" customHeight="1" x14ac:dyDescent="0.25">
      <c r="C468" s="54"/>
      <c r="H468" s="72"/>
      <c r="J468" s="17"/>
      <c r="K468" s="149"/>
      <c r="L468" s="78"/>
    </row>
    <row r="469" spans="3:12" s="15" customFormat="1" ht="15.75" customHeight="1" x14ac:dyDescent="0.25">
      <c r="C469" s="54"/>
      <c r="H469" s="72"/>
      <c r="J469" s="17"/>
      <c r="K469" s="149"/>
      <c r="L469" s="78"/>
    </row>
    <row r="470" spans="3:12" s="15" customFormat="1" ht="15.75" customHeight="1" x14ac:dyDescent="0.25">
      <c r="C470" s="54"/>
      <c r="H470" s="72"/>
      <c r="J470" s="17"/>
      <c r="K470" s="149"/>
      <c r="L470" s="78"/>
    </row>
    <row r="471" spans="3:12" s="15" customFormat="1" ht="15.75" customHeight="1" x14ac:dyDescent="0.25">
      <c r="C471" s="54"/>
      <c r="H471" s="72"/>
      <c r="J471" s="17"/>
      <c r="K471" s="149"/>
      <c r="L471" s="78"/>
    </row>
    <row r="472" spans="3:12" s="15" customFormat="1" ht="15.75" customHeight="1" x14ac:dyDescent="0.25">
      <c r="C472" s="54"/>
      <c r="H472" s="72"/>
      <c r="J472" s="17"/>
      <c r="K472" s="149"/>
      <c r="L472" s="78"/>
    </row>
    <row r="473" spans="3:12" s="15" customFormat="1" ht="15.75" customHeight="1" x14ac:dyDescent="0.25">
      <c r="C473" s="54"/>
      <c r="H473" s="72"/>
      <c r="J473" s="17"/>
      <c r="K473" s="149"/>
      <c r="L473" s="78"/>
    </row>
    <row r="474" spans="3:12" s="15" customFormat="1" ht="15.75" customHeight="1" x14ac:dyDescent="0.25">
      <c r="C474" s="54"/>
      <c r="H474" s="72"/>
      <c r="J474" s="17"/>
      <c r="K474" s="149"/>
      <c r="L474" s="78"/>
    </row>
    <row r="475" spans="3:12" s="15" customFormat="1" ht="15.75" customHeight="1" x14ac:dyDescent="0.25">
      <c r="C475" s="54"/>
      <c r="H475" s="72"/>
      <c r="J475" s="17"/>
      <c r="K475" s="149"/>
      <c r="L475" s="78"/>
    </row>
    <row r="476" spans="3:12" s="15" customFormat="1" ht="15.75" customHeight="1" x14ac:dyDescent="0.25">
      <c r="C476" s="54"/>
      <c r="H476" s="72"/>
      <c r="J476" s="17"/>
      <c r="K476" s="149"/>
      <c r="L476" s="78"/>
    </row>
    <row r="477" spans="3:12" s="15" customFormat="1" ht="15.75" customHeight="1" x14ac:dyDescent="0.25">
      <c r="C477" s="54"/>
      <c r="H477" s="72"/>
      <c r="J477" s="17"/>
      <c r="K477" s="149"/>
      <c r="L477" s="78"/>
    </row>
    <row r="478" spans="3:12" s="15" customFormat="1" ht="15.75" customHeight="1" x14ac:dyDescent="0.25">
      <c r="C478" s="54"/>
      <c r="H478" s="72"/>
      <c r="J478" s="17"/>
      <c r="K478" s="149"/>
      <c r="L478" s="78"/>
    </row>
    <row r="479" spans="3:12" s="15" customFormat="1" ht="15.75" customHeight="1" x14ac:dyDescent="0.25">
      <c r="C479" s="54"/>
      <c r="H479" s="72"/>
      <c r="J479" s="17"/>
      <c r="K479" s="149"/>
      <c r="L479" s="78"/>
    </row>
    <row r="480" spans="3:12" s="15" customFormat="1" ht="15.75" customHeight="1" x14ac:dyDescent="0.25">
      <c r="C480" s="54"/>
      <c r="H480" s="72"/>
      <c r="J480" s="17"/>
      <c r="K480" s="149"/>
      <c r="L480" s="78"/>
    </row>
    <row r="481" spans="3:12" s="15" customFormat="1" ht="15.75" customHeight="1" x14ac:dyDescent="0.25">
      <c r="C481" s="54"/>
      <c r="H481" s="72"/>
      <c r="J481" s="17"/>
      <c r="K481" s="149"/>
      <c r="L481" s="78"/>
    </row>
    <row r="482" spans="3:12" s="15" customFormat="1" ht="15.75" customHeight="1" x14ac:dyDescent="0.25">
      <c r="C482" s="54"/>
      <c r="H482" s="72"/>
      <c r="J482" s="17"/>
      <c r="K482" s="149"/>
      <c r="L482" s="78"/>
    </row>
    <row r="483" spans="3:12" s="15" customFormat="1" ht="15.75" customHeight="1" x14ac:dyDescent="0.25">
      <c r="C483" s="54"/>
      <c r="H483" s="72"/>
      <c r="J483" s="17"/>
      <c r="K483" s="149"/>
      <c r="L483" s="78"/>
    </row>
    <row r="484" spans="3:12" s="15" customFormat="1" ht="15.75" customHeight="1" x14ac:dyDescent="0.25">
      <c r="C484" s="54"/>
      <c r="H484" s="72"/>
      <c r="J484" s="17"/>
      <c r="K484" s="149"/>
      <c r="L484" s="78"/>
    </row>
    <row r="485" spans="3:12" s="15" customFormat="1" ht="15.75" customHeight="1" x14ac:dyDescent="0.25">
      <c r="C485" s="54"/>
      <c r="H485" s="72"/>
      <c r="J485" s="17"/>
      <c r="K485" s="149"/>
      <c r="L485" s="78"/>
    </row>
    <row r="486" spans="3:12" s="15" customFormat="1" ht="15.75" customHeight="1" x14ac:dyDescent="0.25">
      <c r="C486" s="54"/>
      <c r="H486" s="72"/>
      <c r="J486" s="17"/>
      <c r="K486" s="149"/>
      <c r="L486" s="78"/>
    </row>
    <row r="487" spans="3:12" s="15" customFormat="1" ht="15.75" customHeight="1" x14ac:dyDescent="0.25">
      <c r="C487" s="54"/>
      <c r="H487" s="72"/>
      <c r="J487" s="17"/>
      <c r="K487" s="149"/>
      <c r="L487" s="78"/>
    </row>
    <row r="488" spans="3:12" s="15" customFormat="1" ht="15.75" customHeight="1" x14ac:dyDescent="0.25">
      <c r="C488" s="54"/>
      <c r="H488" s="72"/>
      <c r="J488" s="17"/>
      <c r="K488" s="149"/>
      <c r="L488" s="78"/>
    </row>
    <row r="489" spans="3:12" s="15" customFormat="1" ht="15.75" customHeight="1" x14ac:dyDescent="0.25">
      <c r="C489" s="54"/>
      <c r="H489" s="72"/>
      <c r="J489" s="17"/>
      <c r="K489" s="149"/>
      <c r="L489" s="78"/>
    </row>
    <row r="490" spans="3:12" s="15" customFormat="1" ht="15.75" customHeight="1" x14ac:dyDescent="0.25">
      <c r="C490" s="54"/>
      <c r="H490" s="72"/>
      <c r="J490" s="17"/>
      <c r="K490" s="149"/>
      <c r="L490" s="78"/>
    </row>
    <row r="491" spans="3:12" s="15" customFormat="1" ht="15.75" customHeight="1" x14ac:dyDescent="0.25">
      <c r="C491" s="54"/>
      <c r="H491" s="72"/>
      <c r="J491" s="17"/>
      <c r="K491" s="149"/>
      <c r="L491" s="78"/>
    </row>
    <row r="492" spans="3:12" s="15" customFormat="1" ht="15.75" customHeight="1" x14ac:dyDescent="0.25">
      <c r="C492" s="54"/>
      <c r="H492" s="72"/>
      <c r="J492" s="17"/>
      <c r="K492" s="149"/>
      <c r="L492" s="78"/>
    </row>
    <row r="493" spans="3:12" s="15" customFormat="1" ht="15.75" customHeight="1" x14ac:dyDescent="0.25">
      <c r="C493" s="54"/>
      <c r="H493" s="72"/>
      <c r="J493" s="17"/>
      <c r="K493" s="149"/>
      <c r="L493" s="78"/>
    </row>
    <row r="494" spans="3:12" s="15" customFormat="1" ht="15.75" customHeight="1" x14ac:dyDescent="0.25">
      <c r="C494" s="54"/>
      <c r="H494" s="72"/>
      <c r="J494" s="17"/>
      <c r="K494" s="149"/>
      <c r="L494" s="78"/>
    </row>
    <row r="495" spans="3:12" s="15" customFormat="1" ht="15.75" customHeight="1" x14ac:dyDescent="0.25">
      <c r="C495" s="54"/>
      <c r="H495" s="72"/>
      <c r="J495" s="17"/>
      <c r="K495" s="149"/>
      <c r="L495" s="78"/>
    </row>
    <row r="496" spans="3:12" s="15" customFormat="1" ht="15.75" customHeight="1" x14ac:dyDescent="0.25">
      <c r="C496" s="54"/>
      <c r="H496" s="72"/>
      <c r="J496" s="17"/>
      <c r="K496" s="149"/>
      <c r="L496" s="78"/>
    </row>
    <row r="497" spans="3:12" s="15" customFormat="1" ht="15.75" customHeight="1" x14ac:dyDescent="0.25">
      <c r="C497" s="54"/>
      <c r="H497" s="72"/>
      <c r="J497" s="17"/>
      <c r="K497" s="149"/>
      <c r="L497" s="78"/>
    </row>
    <row r="498" spans="3:12" s="15" customFormat="1" ht="15.75" customHeight="1" x14ac:dyDescent="0.25">
      <c r="C498" s="54"/>
      <c r="H498" s="72"/>
      <c r="J498" s="17"/>
      <c r="K498" s="149"/>
      <c r="L498" s="78"/>
    </row>
    <row r="499" spans="3:12" s="15" customFormat="1" ht="15.75" customHeight="1" x14ac:dyDescent="0.25">
      <c r="C499" s="54"/>
      <c r="H499" s="72"/>
      <c r="J499" s="17"/>
      <c r="K499" s="149"/>
      <c r="L499" s="78"/>
    </row>
    <row r="500" spans="3:12" s="15" customFormat="1" ht="15.75" customHeight="1" x14ac:dyDescent="0.25">
      <c r="C500" s="54"/>
      <c r="H500" s="72"/>
      <c r="J500" s="17"/>
      <c r="K500" s="149"/>
      <c r="L500" s="78"/>
    </row>
    <row r="501" spans="3:12" s="15" customFormat="1" ht="15.75" customHeight="1" x14ac:dyDescent="0.25">
      <c r="C501" s="54"/>
      <c r="H501" s="72"/>
      <c r="J501" s="17"/>
      <c r="K501" s="149"/>
      <c r="L501" s="78"/>
    </row>
    <row r="502" spans="3:12" s="15" customFormat="1" ht="15.75" customHeight="1" x14ac:dyDescent="0.25">
      <c r="C502" s="54"/>
      <c r="H502" s="72"/>
      <c r="J502" s="17"/>
      <c r="K502" s="149"/>
      <c r="L502" s="78"/>
    </row>
    <row r="503" spans="3:12" s="15" customFormat="1" ht="15.75" customHeight="1" x14ac:dyDescent="0.25">
      <c r="C503" s="54"/>
      <c r="H503" s="72"/>
      <c r="J503" s="17"/>
      <c r="K503" s="149"/>
      <c r="L503" s="78"/>
    </row>
    <row r="504" spans="3:12" s="15" customFormat="1" ht="15.75" customHeight="1" x14ac:dyDescent="0.25">
      <c r="C504" s="54"/>
      <c r="H504" s="72"/>
      <c r="J504" s="17"/>
      <c r="K504" s="149"/>
      <c r="L504" s="78"/>
    </row>
    <row r="505" spans="3:12" s="15" customFormat="1" ht="15.75" customHeight="1" x14ac:dyDescent="0.25">
      <c r="C505" s="54"/>
      <c r="H505" s="72"/>
      <c r="J505" s="17"/>
      <c r="K505" s="149"/>
      <c r="L505" s="78"/>
    </row>
    <row r="506" spans="3:12" s="15" customFormat="1" ht="15.75" customHeight="1" x14ac:dyDescent="0.25">
      <c r="C506" s="54"/>
      <c r="H506" s="72"/>
      <c r="J506" s="17"/>
      <c r="K506" s="149"/>
      <c r="L506" s="78"/>
    </row>
    <row r="507" spans="3:12" s="15" customFormat="1" ht="15.75" customHeight="1" x14ac:dyDescent="0.25">
      <c r="C507" s="54"/>
      <c r="H507" s="72"/>
      <c r="J507" s="17"/>
      <c r="K507" s="149"/>
      <c r="L507" s="78"/>
    </row>
    <row r="508" spans="3:12" s="15" customFormat="1" ht="15.75" customHeight="1" x14ac:dyDescent="0.25">
      <c r="C508" s="54"/>
      <c r="H508" s="72"/>
      <c r="J508" s="17"/>
      <c r="K508" s="149"/>
      <c r="L508" s="78"/>
    </row>
    <row r="509" spans="3:12" s="15" customFormat="1" ht="15.75" customHeight="1" x14ac:dyDescent="0.25">
      <c r="C509" s="54"/>
      <c r="H509" s="72"/>
      <c r="J509" s="17"/>
      <c r="K509" s="149"/>
      <c r="L509" s="78"/>
    </row>
    <row r="510" spans="3:12" s="15" customFormat="1" ht="15.75" customHeight="1" x14ac:dyDescent="0.25">
      <c r="C510" s="54"/>
      <c r="H510" s="72"/>
      <c r="J510" s="17"/>
      <c r="K510" s="149"/>
      <c r="L510" s="78"/>
    </row>
    <row r="511" spans="3:12" s="15" customFormat="1" ht="15.75" customHeight="1" x14ac:dyDescent="0.25">
      <c r="C511" s="54"/>
      <c r="H511" s="72"/>
      <c r="J511" s="17"/>
      <c r="K511" s="149"/>
      <c r="L511" s="78"/>
    </row>
    <row r="512" spans="3:12" s="15" customFormat="1" ht="15.75" customHeight="1" x14ac:dyDescent="0.25">
      <c r="C512" s="54"/>
      <c r="H512" s="72"/>
      <c r="J512" s="17"/>
      <c r="K512" s="149"/>
      <c r="L512" s="78"/>
    </row>
    <row r="513" spans="3:12" s="15" customFormat="1" ht="15.75" customHeight="1" x14ac:dyDescent="0.25">
      <c r="C513" s="54"/>
      <c r="H513" s="72"/>
      <c r="J513" s="17"/>
      <c r="K513" s="149"/>
      <c r="L513" s="78"/>
    </row>
    <row r="514" spans="3:12" s="15" customFormat="1" ht="15.75" customHeight="1" x14ac:dyDescent="0.25">
      <c r="C514" s="54"/>
      <c r="H514" s="72"/>
      <c r="J514" s="17"/>
      <c r="K514" s="149"/>
      <c r="L514" s="78"/>
    </row>
    <row r="515" spans="3:12" s="15" customFormat="1" ht="15.75" customHeight="1" x14ac:dyDescent="0.25">
      <c r="C515" s="54"/>
      <c r="H515" s="72"/>
      <c r="J515" s="17"/>
      <c r="K515" s="149"/>
      <c r="L515" s="78"/>
    </row>
    <row r="516" spans="3:12" s="15" customFormat="1" ht="15.75" customHeight="1" x14ac:dyDescent="0.25">
      <c r="C516" s="54"/>
      <c r="H516" s="72"/>
      <c r="J516" s="17"/>
      <c r="K516" s="149"/>
      <c r="L516" s="78"/>
    </row>
    <row r="517" spans="3:12" s="15" customFormat="1" ht="15.75" customHeight="1" x14ac:dyDescent="0.25">
      <c r="C517" s="54"/>
      <c r="H517" s="72"/>
      <c r="J517" s="17"/>
      <c r="K517" s="149"/>
      <c r="L517" s="78"/>
    </row>
    <row r="518" spans="3:12" s="15" customFormat="1" ht="15.75" customHeight="1" x14ac:dyDescent="0.25">
      <c r="C518" s="54"/>
      <c r="H518" s="72"/>
      <c r="J518" s="17"/>
      <c r="K518" s="149"/>
      <c r="L518" s="78"/>
    </row>
    <row r="519" spans="3:12" s="15" customFormat="1" ht="15.75" customHeight="1" x14ac:dyDescent="0.25">
      <c r="C519" s="54"/>
      <c r="H519" s="72"/>
      <c r="J519" s="17"/>
      <c r="K519" s="149"/>
      <c r="L519" s="78"/>
    </row>
    <row r="520" spans="3:12" s="15" customFormat="1" ht="15.75" customHeight="1" x14ac:dyDescent="0.25">
      <c r="C520" s="54"/>
      <c r="H520" s="72"/>
      <c r="J520" s="17"/>
      <c r="K520" s="149"/>
      <c r="L520" s="78"/>
    </row>
    <row r="521" spans="3:12" s="15" customFormat="1" ht="15.75" customHeight="1" x14ac:dyDescent="0.25">
      <c r="C521" s="54"/>
      <c r="H521" s="72"/>
      <c r="J521" s="17"/>
      <c r="K521" s="149"/>
      <c r="L521" s="78"/>
    </row>
    <row r="522" spans="3:12" s="15" customFormat="1" ht="15.75" customHeight="1" x14ac:dyDescent="0.25">
      <c r="C522" s="54"/>
      <c r="H522" s="72"/>
      <c r="J522" s="17"/>
      <c r="K522" s="149"/>
      <c r="L522" s="78"/>
    </row>
    <row r="523" spans="3:12" s="15" customFormat="1" ht="15.75" customHeight="1" x14ac:dyDescent="0.25">
      <c r="C523" s="54"/>
      <c r="H523" s="72"/>
      <c r="J523" s="17"/>
      <c r="K523" s="149"/>
      <c r="L523" s="78"/>
    </row>
    <row r="524" spans="3:12" s="15" customFormat="1" ht="15.75" customHeight="1" x14ac:dyDescent="0.25">
      <c r="C524" s="54"/>
      <c r="H524" s="72"/>
      <c r="J524" s="17"/>
      <c r="K524" s="149"/>
      <c r="L524" s="78"/>
    </row>
    <row r="525" spans="3:12" s="15" customFormat="1" ht="15.75" customHeight="1" x14ac:dyDescent="0.25">
      <c r="C525" s="54"/>
      <c r="H525" s="72"/>
      <c r="J525" s="17"/>
      <c r="K525" s="149"/>
      <c r="L525" s="78"/>
    </row>
    <row r="526" spans="3:12" s="15" customFormat="1" ht="15.75" customHeight="1" x14ac:dyDescent="0.25">
      <c r="C526" s="54"/>
      <c r="H526" s="72"/>
      <c r="J526" s="17"/>
      <c r="K526" s="149"/>
      <c r="L526" s="78"/>
    </row>
    <row r="527" spans="3:12" s="15" customFormat="1" ht="15.75" customHeight="1" x14ac:dyDescent="0.25">
      <c r="C527" s="54"/>
      <c r="H527" s="72"/>
      <c r="J527" s="17"/>
      <c r="K527" s="149"/>
      <c r="L527" s="78"/>
    </row>
    <row r="528" spans="3:12" s="15" customFormat="1" ht="15.75" customHeight="1" x14ac:dyDescent="0.25">
      <c r="C528" s="54"/>
      <c r="H528" s="72"/>
      <c r="J528" s="17"/>
      <c r="K528" s="149"/>
      <c r="L528" s="78"/>
    </row>
    <row r="529" spans="3:12" s="15" customFormat="1" ht="15.75" customHeight="1" x14ac:dyDescent="0.25">
      <c r="C529" s="54"/>
      <c r="H529" s="72"/>
      <c r="J529" s="17"/>
      <c r="K529" s="149"/>
      <c r="L529" s="78"/>
    </row>
    <row r="530" spans="3:12" s="15" customFormat="1" ht="15.75" customHeight="1" x14ac:dyDescent="0.25">
      <c r="C530" s="54"/>
      <c r="H530" s="72"/>
      <c r="J530" s="17"/>
      <c r="K530" s="149"/>
      <c r="L530" s="78"/>
    </row>
    <row r="531" spans="3:12" s="15" customFormat="1" ht="15.75" customHeight="1" x14ac:dyDescent="0.25">
      <c r="C531" s="54"/>
      <c r="H531" s="72"/>
      <c r="J531" s="17"/>
      <c r="K531" s="149"/>
      <c r="L531" s="78"/>
    </row>
    <row r="532" spans="3:12" s="15" customFormat="1" ht="15.75" customHeight="1" x14ac:dyDescent="0.25">
      <c r="C532" s="54"/>
      <c r="H532" s="72"/>
      <c r="J532" s="17"/>
      <c r="K532" s="149"/>
      <c r="L532" s="78"/>
    </row>
    <row r="533" spans="3:12" s="15" customFormat="1" ht="15.75" customHeight="1" x14ac:dyDescent="0.25">
      <c r="C533" s="54"/>
      <c r="H533" s="72"/>
      <c r="J533" s="17"/>
      <c r="K533" s="149"/>
      <c r="L533" s="78"/>
    </row>
    <row r="534" spans="3:12" s="15" customFormat="1" ht="15.75" customHeight="1" x14ac:dyDescent="0.25">
      <c r="C534" s="54"/>
      <c r="H534" s="72"/>
      <c r="J534" s="17"/>
      <c r="K534" s="149"/>
      <c r="L534" s="78"/>
    </row>
    <row r="535" spans="3:12" s="15" customFormat="1" ht="15.75" customHeight="1" x14ac:dyDescent="0.25">
      <c r="C535" s="54"/>
      <c r="H535" s="72"/>
      <c r="J535" s="17"/>
      <c r="K535" s="149"/>
      <c r="L535" s="78"/>
    </row>
    <row r="536" spans="3:12" s="15" customFormat="1" ht="15.75" customHeight="1" x14ac:dyDescent="0.25">
      <c r="C536" s="54"/>
      <c r="H536" s="72"/>
      <c r="J536" s="17"/>
      <c r="K536" s="149"/>
      <c r="L536" s="78"/>
    </row>
    <row r="537" spans="3:12" s="15" customFormat="1" ht="15.75" customHeight="1" x14ac:dyDescent="0.25">
      <c r="C537" s="54"/>
      <c r="H537" s="72"/>
      <c r="J537" s="17"/>
      <c r="K537" s="149"/>
      <c r="L537" s="78"/>
    </row>
    <row r="538" spans="3:12" s="15" customFormat="1" ht="15.75" customHeight="1" x14ac:dyDescent="0.25">
      <c r="C538" s="54"/>
      <c r="H538" s="72"/>
      <c r="J538" s="17"/>
      <c r="K538" s="149"/>
      <c r="L538" s="78"/>
    </row>
    <row r="539" spans="3:12" s="15" customFormat="1" ht="15.75" customHeight="1" x14ac:dyDescent="0.25">
      <c r="C539" s="54"/>
      <c r="H539" s="72"/>
      <c r="J539" s="17"/>
      <c r="K539" s="149"/>
      <c r="L539" s="78"/>
    </row>
    <row r="540" spans="3:12" s="15" customFormat="1" ht="15.75" customHeight="1" x14ac:dyDescent="0.25">
      <c r="C540" s="54"/>
      <c r="H540" s="72"/>
      <c r="J540" s="17"/>
      <c r="K540" s="149"/>
      <c r="L540" s="78"/>
    </row>
    <row r="541" spans="3:12" s="15" customFormat="1" ht="15.75" customHeight="1" x14ac:dyDescent="0.25">
      <c r="C541" s="54"/>
      <c r="H541" s="72"/>
      <c r="J541" s="17"/>
      <c r="K541" s="149"/>
      <c r="L541" s="78"/>
    </row>
    <row r="542" spans="3:12" s="15" customFormat="1" ht="15.75" customHeight="1" x14ac:dyDescent="0.25">
      <c r="C542" s="54"/>
      <c r="H542" s="72"/>
      <c r="J542" s="17"/>
      <c r="K542" s="149"/>
      <c r="L542" s="78"/>
    </row>
    <row r="543" spans="3:12" s="15" customFormat="1" ht="15.75" customHeight="1" x14ac:dyDescent="0.25">
      <c r="C543" s="54"/>
      <c r="H543" s="72"/>
      <c r="J543" s="17"/>
      <c r="K543" s="149"/>
      <c r="L543" s="78"/>
    </row>
    <row r="544" spans="3:12" s="15" customFormat="1" ht="15.75" customHeight="1" x14ac:dyDescent="0.25">
      <c r="C544" s="54"/>
      <c r="H544" s="72"/>
      <c r="J544" s="17"/>
      <c r="K544" s="149"/>
      <c r="L544" s="78"/>
    </row>
    <row r="545" spans="3:12" s="15" customFormat="1" ht="15.75" customHeight="1" x14ac:dyDescent="0.25">
      <c r="C545" s="54"/>
      <c r="H545" s="72"/>
      <c r="J545" s="17"/>
      <c r="K545" s="149"/>
      <c r="L545" s="78"/>
    </row>
    <row r="546" spans="3:12" s="15" customFormat="1" ht="15.75" customHeight="1" x14ac:dyDescent="0.25">
      <c r="C546" s="54"/>
      <c r="H546" s="72"/>
      <c r="J546" s="17"/>
      <c r="K546" s="149"/>
      <c r="L546" s="78"/>
    </row>
    <row r="547" spans="3:12" s="15" customFormat="1" ht="15.75" customHeight="1" x14ac:dyDescent="0.25">
      <c r="C547" s="54"/>
      <c r="H547" s="72"/>
      <c r="J547" s="17"/>
      <c r="K547" s="149"/>
      <c r="L547" s="78"/>
    </row>
    <row r="548" spans="3:12" s="15" customFormat="1" ht="15.75" customHeight="1" x14ac:dyDescent="0.25">
      <c r="C548" s="54"/>
      <c r="H548" s="72"/>
      <c r="J548" s="17"/>
      <c r="K548" s="149"/>
      <c r="L548" s="78"/>
    </row>
    <row r="549" spans="3:12" s="15" customFormat="1" ht="15.75" customHeight="1" x14ac:dyDescent="0.25">
      <c r="C549" s="54"/>
      <c r="H549" s="72"/>
      <c r="J549" s="17"/>
      <c r="K549" s="149"/>
      <c r="L549" s="78"/>
    </row>
    <row r="550" spans="3:12" s="15" customFormat="1" ht="15.75" customHeight="1" x14ac:dyDescent="0.25">
      <c r="C550" s="54"/>
      <c r="H550" s="72"/>
      <c r="J550" s="17"/>
      <c r="K550" s="149"/>
      <c r="L550" s="78"/>
    </row>
    <row r="551" spans="3:12" s="15" customFormat="1" ht="15.75" customHeight="1" x14ac:dyDescent="0.25">
      <c r="C551" s="54"/>
      <c r="H551" s="72"/>
      <c r="J551" s="17"/>
      <c r="K551" s="149"/>
      <c r="L551" s="78"/>
    </row>
    <row r="552" spans="3:12" s="15" customFormat="1" ht="15.75" customHeight="1" x14ac:dyDescent="0.25">
      <c r="C552" s="54"/>
      <c r="H552" s="72"/>
      <c r="J552" s="17"/>
      <c r="K552" s="149"/>
      <c r="L552" s="78"/>
    </row>
    <row r="553" spans="3:12" s="15" customFormat="1" ht="15.75" customHeight="1" x14ac:dyDescent="0.25">
      <c r="C553" s="54"/>
      <c r="H553" s="72"/>
      <c r="J553" s="17"/>
      <c r="K553" s="149"/>
      <c r="L553" s="78"/>
    </row>
    <row r="554" spans="3:12" s="15" customFormat="1" ht="15.75" customHeight="1" x14ac:dyDescent="0.25">
      <c r="C554" s="54"/>
      <c r="H554" s="72"/>
      <c r="J554" s="17"/>
      <c r="K554" s="149"/>
      <c r="L554" s="78"/>
    </row>
    <row r="555" spans="3:12" s="15" customFormat="1" ht="15.75" customHeight="1" x14ac:dyDescent="0.25">
      <c r="C555" s="54"/>
      <c r="H555" s="72"/>
      <c r="J555" s="17"/>
      <c r="K555" s="149"/>
      <c r="L555" s="78"/>
    </row>
    <row r="556" spans="3:12" s="15" customFormat="1" ht="15.75" customHeight="1" x14ac:dyDescent="0.25">
      <c r="C556" s="54"/>
      <c r="H556" s="72"/>
      <c r="J556" s="17"/>
      <c r="K556" s="149"/>
      <c r="L556" s="78"/>
    </row>
    <row r="557" spans="3:12" s="15" customFormat="1" ht="15.75" customHeight="1" x14ac:dyDescent="0.25">
      <c r="C557" s="54"/>
      <c r="H557" s="72"/>
      <c r="J557" s="17"/>
      <c r="K557" s="149"/>
      <c r="L557" s="78"/>
    </row>
    <row r="558" spans="3:12" s="15" customFormat="1" ht="15.75" customHeight="1" x14ac:dyDescent="0.25">
      <c r="C558" s="54"/>
      <c r="H558" s="72"/>
      <c r="J558" s="17"/>
      <c r="K558" s="149"/>
      <c r="L558" s="78"/>
    </row>
    <row r="559" spans="3:12" s="15" customFormat="1" ht="15.75" customHeight="1" x14ac:dyDescent="0.25">
      <c r="C559" s="54"/>
      <c r="H559" s="72"/>
      <c r="J559" s="17"/>
      <c r="K559" s="149"/>
      <c r="L559" s="78"/>
    </row>
    <row r="560" spans="3:12" s="15" customFormat="1" ht="15.75" customHeight="1" x14ac:dyDescent="0.25">
      <c r="C560" s="54"/>
      <c r="H560" s="72"/>
      <c r="J560" s="17"/>
      <c r="K560" s="149"/>
      <c r="L560" s="78"/>
    </row>
    <row r="561" spans="3:12" s="15" customFormat="1" ht="15.75" customHeight="1" x14ac:dyDescent="0.25">
      <c r="C561" s="54"/>
      <c r="H561" s="72"/>
      <c r="J561" s="17"/>
      <c r="K561" s="149"/>
      <c r="L561" s="78"/>
    </row>
    <row r="562" spans="3:12" s="15" customFormat="1" ht="15.75" customHeight="1" x14ac:dyDescent="0.25">
      <c r="C562" s="54"/>
      <c r="H562" s="72"/>
      <c r="J562" s="17"/>
      <c r="K562" s="149"/>
      <c r="L562" s="78"/>
    </row>
    <row r="563" spans="3:12" s="15" customFormat="1" ht="15.75" customHeight="1" x14ac:dyDescent="0.25">
      <c r="C563" s="54"/>
      <c r="H563" s="72"/>
      <c r="J563" s="17"/>
      <c r="K563" s="149"/>
      <c r="L563" s="78"/>
    </row>
    <row r="564" spans="3:12" s="15" customFormat="1" ht="15.75" customHeight="1" x14ac:dyDescent="0.25">
      <c r="C564" s="54"/>
      <c r="H564" s="72"/>
      <c r="J564" s="17"/>
      <c r="K564" s="149"/>
      <c r="L564" s="78"/>
    </row>
    <row r="565" spans="3:12" s="15" customFormat="1" ht="15.75" customHeight="1" x14ac:dyDescent="0.25">
      <c r="C565" s="54"/>
      <c r="H565" s="72"/>
      <c r="J565" s="17"/>
      <c r="K565" s="149"/>
      <c r="L565" s="78"/>
    </row>
    <row r="566" spans="3:12" s="15" customFormat="1" ht="15.75" customHeight="1" x14ac:dyDescent="0.25">
      <c r="C566" s="54"/>
      <c r="H566" s="72"/>
      <c r="J566" s="17"/>
      <c r="K566" s="149"/>
      <c r="L566" s="78"/>
    </row>
    <row r="567" spans="3:12" s="15" customFormat="1" ht="15.75" customHeight="1" x14ac:dyDescent="0.25">
      <c r="C567" s="54"/>
      <c r="H567" s="72"/>
      <c r="J567" s="17"/>
      <c r="K567" s="149"/>
      <c r="L567" s="78"/>
    </row>
    <row r="568" spans="3:12" s="15" customFormat="1" ht="15.75" customHeight="1" x14ac:dyDescent="0.25">
      <c r="C568" s="54"/>
      <c r="H568" s="72"/>
      <c r="J568" s="17"/>
      <c r="K568" s="149"/>
      <c r="L568" s="78"/>
    </row>
    <row r="569" spans="3:12" s="15" customFormat="1" ht="15.75" customHeight="1" x14ac:dyDescent="0.25">
      <c r="C569" s="54"/>
      <c r="H569" s="72"/>
      <c r="J569" s="17"/>
      <c r="K569" s="149"/>
      <c r="L569" s="78"/>
    </row>
    <row r="570" spans="3:12" s="15" customFormat="1" ht="15.75" customHeight="1" x14ac:dyDescent="0.25">
      <c r="C570" s="54"/>
      <c r="H570" s="72"/>
      <c r="J570" s="17"/>
      <c r="K570" s="149"/>
      <c r="L570" s="78"/>
    </row>
    <row r="571" spans="3:12" s="15" customFormat="1" ht="15.75" customHeight="1" x14ac:dyDescent="0.25">
      <c r="C571" s="54"/>
      <c r="H571" s="72"/>
      <c r="J571" s="17"/>
      <c r="K571" s="149"/>
      <c r="L571" s="78"/>
    </row>
    <row r="572" spans="3:12" s="15" customFormat="1" ht="15.75" customHeight="1" x14ac:dyDescent="0.25">
      <c r="C572" s="54"/>
      <c r="H572" s="72"/>
      <c r="J572" s="17"/>
      <c r="K572" s="149"/>
      <c r="L572" s="78"/>
    </row>
    <row r="573" spans="3:12" s="15" customFormat="1" ht="15.75" customHeight="1" x14ac:dyDescent="0.25">
      <c r="C573" s="54"/>
      <c r="H573" s="72"/>
      <c r="J573" s="17"/>
      <c r="K573" s="149"/>
      <c r="L573" s="78"/>
    </row>
    <row r="574" spans="3:12" s="15" customFormat="1" ht="15.75" customHeight="1" x14ac:dyDescent="0.25">
      <c r="C574" s="54"/>
      <c r="H574" s="72"/>
      <c r="J574" s="17"/>
      <c r="K574" s="149"/>
      <c r="L574" s="78"/>
    </row>
    <row r="575" spans="3:12" s="15" customFormat="1" ht="15.75" customHeight="1" x14ac:dyDescent="0.25">
      <c r="C575" s="54"/>
      <c r="H575" s="72"/>
      <c r="J575" s="17"/>
      <c r="K575" s="149"/>
      <c r="L575" s="78"/>
    </row>
    <row r="576" spans="3:12" s="15" customFormat="1" ht="15.75" customHeight="1" x14ac:dyDescent="0.25">
      <c r="C576" s="54"/>
      <c r="H576" s="72"/>
      <c r="J576" s="17"/>
      <c r="K576" s="149"/>
      <c r="L576" s="78"/>
    </row>
    <row r="577" spans="3:12" s="15" customFormat="1" ht="15.75" customHeight="1" x14ac:dyDescent="0.25">
      <c r="C577" s="54"/>
      <c r="H577" s="72"/>
      <c r="J577" s="17"/>
      <c r="K577" s="149"/>
      <c r="L577" s="78"/>
    </row>
    <row r="578" spans="3:12" s="15" customFormat="1" ht="15.75" customHeight="1" x14ac:dyDescent="0.25">
      <c r="C578" s="54"/>
      <c r="H578" s="72"/>
      <c r="J578" s="17"/>
      <c r="K578" s="149"/>
      <c r="L578" s="78"/>
    </row>
    <row r="579" spans="3:12" s="15" customFormat="1" ht="15.75" customHeight="1" x14ac:dyDescent="0.25">
      <c r="C579" s="54"/>
      <c r="H579" s="72"/>
      <c r="J579" s="17"/>
      <c r="K579" s="149"/>
      <c r="L579" s="78"/>
    </row>
    <row r="580" spans="3:12" s="15" customFormat="1" ht="15.75" customHeight="1" x14ac:dyDescent="0.25">
      <c r="C580" s="54"/>
      <c r="H580" s="72"/>
      <c r="J580" s="17"/>
      <c r="K580" s="149"/>
      <c r="L580" s="78"/>
    </row>
    <row r="581" spans="3:12" s="15" customFormat="1" ht="15.75" customHeight="1" x14ac:dyDescent="0.25">
      <c r="C581" s="54"/>
      <c r="H581" s="72"/>
      <c r="J581" s="17"/>
      <c r="K581" s="149"/>
      <c r="L581" s="78"/>
    </row>
    <row r="582" spans="3:12" s="15" customFormat="1" ht="15.75" customHeight="1" x14ac:dyDescent="0.25">
      <c r="C582" s="54"/>
      <c r="H582" s="72"/>
      <c r="J582" s="17"/>
      <c r="K582" s="149"/>
      <c r="L582" s="78"/>
    </row>
    <row r="583" spans="3:12" s="15" customFormat="1" ht="15.75" customHeight="1" x14ac:dyDescent="0.25">
      <c r="C583" s="54"/>
      <c r="H583" s="72"/>
      <c r="J583" s="17"/>
      <c r="K583" s="149"/>
      <c r="L583" s="78"/>
    </row>
    <row r="584" spans="3:12" s="15" customFormat="1" ht="15.75" customHeight="1" x14ac:dyDescent="0.25">
      <c r="C584" s="54"/>
      <c r="H584" s="72"/>
      <c r="J584" s="17"/>
      <c r="K584" s="149"/>
      <c r="L584" s="78"/>
    </row>
    <row r="585" spans="3:12" s="15" customFormat="1" ht="15.75" customHeight="1" x14ac:dyDescent="0.25">
      <c r="C585" s="54"/>
      <c r="H585" s="72"/>
      <c r="J585" s="17"/>
      <c r="K585" s="149"/>
      <c r="L585" s="78"/>
    </row>
    <row r="586" spans="3:12" s="15" customFormat="1" ht="15.75" customHeight="1" x14ac:dyDescent="0.25">
      <c r="C586" s="54"/>
      <c r="H586" s="72"/>
      <c r="J586" s="17"/>
      <c r="K586" s="149"/>
      <c r="L586" s="78"/>
    </row>
    <row r="587" spans="3:12" s="15" customFormat="1" ht="15.75" customHeight="1" x14ac:dyDescent="0.25">
      <c r="C587" s="54"/>
      <c r="H587" s="72"/>
      <c r="J587" s="17"/>
      <c r="K587" s="149"/>
      <c r="L587" s="78"/>
    </row>
    <row r="588" spans="3:12" s="15" customFormat="1" ht="15.75" customHeight="1" x14ac:dyDescent="0.25">
      <c r="C588" s="54"/>
      <c r="H588" s="72"/>
      <c r="J588" s="17"/>
      <c r="K588" s="149"/>
      <c r="L588" s="78"/>
    </row>
    <row r="589" spans="3:12" s="15" customFormat="1" ht="15.75" customHeight="1" x14ac:dyDescent="0.25">
      <c r="C589" s="54"/>
      <c r="H589" s="72"/>
      <c r="J589" s="17"/>
      <c r="K589" s="149"/>
      <c r="L589" s="78"/>
    </row>
    <row r="590" spans="3:12" s="15" customFormat="1" ht="15.75" customHeight="1" x14ac:dyDescent="0.25">
      <c r="C590" s="54"/>
      <c r="H590" s="72"/>
      <c r="J590" s="17"/>
      <c r="K590" s="149"/>
      <c r="L590" s="78"/>
    </row>
    <row r="591" spans="3:12" s="15" customFormat="1" ht="15.75" customHeight="1" x14ac:dyDescent="0.25">
      <c r="C591" s="54"/>
      <c r="H591" s="72"/>
      <c r="J591" s="17"/>
      <c r="K591" s="149"/>
      <c r="L591" s="78"/>
    </row>
    <row r="592" spans="3:12" s="15" customFormat="1" ht="15.75" customHeight="1" x14ac:dyDescent="0.25">
      <c r="C592" s="54"/>
      <c r="H592" s="72"/>
      <c r="J592" s="17"/>
      <c r="K592" s="149"/>
      <c r="L592" s="78"/>
    </row>
    <row r="593" spans="3:12" s="15" customFormat="1" ht="15.75" customHeight="1" x14ac:dyDescent="0.25">
      <c r="C593" s="54"/>
      <c r="H593" s="72"/>
      <c r="J593" s="17"/>
      <c r="K593" s="149"/>
      <c r="L593" s="78"/>
    </row>
    <row r="594" spans="3:12" s="15" customFormat="1" ht="15.75" customHeight="1" x14ac:dyDescent="0.25">
      <c r="C594" s="54"/>
      <c r="H594" s="72"/>
      <c r="J594" s="17"/>
      <c r="K594" s="149"/>
      <c r="L594" s="78"/>
    </row>
    <row r="595" spans="3:12" s="15" customFormat="1" ht="15.75" customHeight="1" x14ac:dyDescent="0.25">
      <c r="C595" s="54"/>
      <c r="H595" s="72"/>
      <c r="J595" s="17"/>
      <c r="K595" s="149"/>
      <c r="L595" s="78"/>
    </row>
    <row r="596" spans="3:12" s="15" customFormat="1" ht="15.75" customHeight="1" x14ac:dyDescent="0.25">
      <c r="C596" s="54"/>
      <c r="H596" s="72"/>
      <c r="J596" s="17"/>
      <c r="K596" s="149"/>
      <c r="L596" s="78"/>
    </row>
    <row r="597" spans="3:12" s="15" customFormat="1" ht="15.75" customHeight="1" x14ac:dyDescent="0.25">
      <c r="C597" s="54"/>
      <c r="H597" s="72"/>
      <c r="J597" s="17"/>
      <c r="K597" s="149"/>
      <c r="L597" s="78"/>
    </row>
    <row r="598" spans="3:12" s="15" customFormat="1" ht="15.75" customHeight="1" x14ac:dyDescent="0.25">
      <c r="C598" s="54"/>
      <c r="H598" s="72"/>
      <c r="J598" s="17"/>
      <c r="K598" s="149"/>
      <c r="L598" s="78"/>
    </row>
    <row r="599" spans="3:12" s="15" customFormat="1" ht="15.75" customHeight="1" x14ac:dyDescent="0.25">
      <c r="C599" s="54"/>
      <c r="H599" s="72"/>
      <c r="J599" s="17"/>
      <c r="K599" s="149"/>
      <c r="L599" s="78"/>
    </row>
    <row r="600" spans="3:12" s="15" customFormat="1" ht="15.75" customHeight="1" x14ac:dyDescent="0.25">
      <c r="C600" s="54"/>
      <c r="H600" s="72"/>
      <c r="J600" s="17"/>
      <c r="K600" s="149"/>
      <c r="L600" s="78"/>
    </row>
    <row r="601" spans="3:12" s="15" customFormat="1" ht="15.75" customHeight="1" x14ac:dyDescent="0.25">
      <c r="C601" s="54"/>
      <c r="H601" s="72"/>
      <c r="J601" s="17"/>
      <c r="K601" s="149"/>
      <c r="L601" s="78"/>
    </row>
    <row r="602" spans="3:12" s="15" customFormat="1" ht="15.75" customHeight="1" x14ac:dyDescent="0.25">
      <c r="C602" s="54"/>
      <c r="H602" s="72"/>
      <c r="J602" s="17"/>
      <c r="K602" s="149"/>
      <c r="L602" s="78"/>
    </row>
    <row r="603" spans="3:12" s="15" customFormat="1" ht="15.75" customHeight="1" x14ac:dyDescent="0.25">
      <c r="C603" s="54"/>
      <c r="H603" s="72"/>
      <c r="J603" s="17"/>
      <c r="K603" s="149"/>
      <c r="L603" s="78"/>
    </row>
    <row r="604" spans="3:12" s="15" customFormat="1" ht="15.75" customHeight="1" x14ac:dyDescent="0.25">
      <c r="C604" s="54"/>
      <c r="H604" s="72"/>
      <c r="J604" s="17"/>
      <c r="K604" s="149"/>
      <c r="L604" s="78"/>
    </row>
    <row r="605" spans="3:12" s="15" customFormat="1" ht="15.75" customHeight="1" x14ac:dyDescent="0.25">
      <c r="C605" s="54"/>
      <c r="H605" s="72"/>
      <c r="J605" s="17"/>
      <c r="K605" s="149"/>
      <c r="L605" s="78"/>
    </row>
    <row r="606" spans="3:12" s="15" customFormat="1" ht="15.75" customHeight="1" x14ac:dyDescent="0.25">
      <c r="C606" s="54"/>
      <c r="H606" s="72"/>
      <c r="J606" s="17"/>
      <c r="K606" s="149"/>
      <c r="L606" s="78"/>
    </row>
    <row r="607" spans="3:12" s="15" customFormat="1" ht="15.75" customHeight="1" x14ac:dyDescent="0.25">
      <c r="C607" s="54"/>
      <c r="H607" s="72"/>
      <c r="J607" s="17"/>
      <c r="K607" s="149"/>
      <c r="L607" s="78"/>
    </row>
    <row r="608" spans="3:12" s="15" customFormat="1" ht="15.75" customHeight="1" x14ac:dyDescent="0.25">
      <c r="C608" s="54"/>
      <c r="H608" s="72"/>
      <c r="J608" s="17"/>
      <c r="K608" s="149"/>
      <c r="L608" s="78"/>
    </row>
    <row r="609" spans="3:12" s="15" customFormat="1" ht="15.75" customHeight="1" x14ac:dyDescent="0.25">
      <c r="C609" s="54"/>
      <c r="H609" s="72"/>
      <c r="J609" s="17"/>
      <c r="K609" s="149"/>
      <c r="L609" s="78"/>
    </row>
    <row r="610" spans="3:12" s="15" customFormat="1" ht="15.75" customHeight="1" x14ac:dyDescent="0.25">
      <c r="C610" s="54"/>
      <c r="H610" s="72"/>
      <c r="J610" s="17"/>
      <c r="K610" s="149"/>
      <c r="L610" s="78"/>
    </row>
    <row r="611" spans="3:12" s="15" customFormat="1" ht="15.75" customHeight="1" x14ac:dyDescent="0.25">
      <c r="C611" s="54"/>
      <c r="H611" s="72"/>
      <c r="J611" s="17"/>
      <c r="K611" s="149"/>
      <c r="L611" s="78"/>
    </row>
    <row r="612" spans="3:12" s="15" customFormat="1" ht="15.75" customHeight="1" x14ac:dyDescent="0.25">
      <c r="C612" s="54"/>
      <c r="H612" s="72"/>
      <c r="J612" s="17"/>
      <c r="K612" s="149"/>
      <c r="L612" s="78"/>
    </row>
    <row r="613" spans="3:12" s="15" customFormat="1" ht="15.75" customHeight="1" x14ac:dyDescent="0.25">
      <c r="C613" s="54"/>
      <c r="H613" s="72"/>
      <c r="J613" s="17"/>
      <c r="K613" s="149"/>
      <c r="L613" s="78"/>
    </row>
    <row r="614" spans="3:12" s="15" customFormat="1" ht="15.75" customHeight="1" x14ac:dyDescent="0.25">
      <c r="C614" s="54"/>
      <c r="H614" s="72"/>
      <c r="J614" s="17"/>
      <c r="K614" s="149"/>
      <c r="L614" s="78"/>
    </row>
    <row r="615" spans="3:12" s="15" customFormat="1" ht="15.75" customHeight="1" x14ac:dyDescent="0.25">
      <c r="C615" s="54"/>
      <c r="H615" s="72"/>
      <c r="J615" s="17"/>
      <c r="K615" s="149"/>
      <c r="L615" s="78"/>
    </row>
    <row r="616" spans="3:12" s="15" customFormat="1" ht="15.75" customHeight="1" x14ac:dyDescent="0.25">
      <c r="C616" s="54"/>
      <c r="H616" s="72"/>
      <c r="J616" s="17"/>
      <c r="K616" s="149"/>
      <c r="L616" s="78"/>
    </row>
    <row r="617" spans="3:12" s="15" customFormat="1" ht="15.75" customHeight="1" x14ac:dyDescent="0.25">
      <c r="C617" s="54"/>
      <c r="H617" s="72"/>
      <c r="J617" s="17"/>
      <c r="K617" s="149"/>
      <c r="L617" s="78"/>
    </row>
    <row r="618" spans="3:12" s="15" customFormat="1" ht="15.75" customHeight="1" x14ac:dyDescent="0.25">
      <c r="C618" s="54"/>
      <c r="H618" s="72"/>
      <c r="J618" s="17"/>
      <c r="K618" s="149"/>
      <c r="L618" s="78"/>
    </row>
    <row r="619" spans="3:12" s="15" customFormat="1" ht="15.75" customHeight="1" x14ac:dyDescent="0.25">
      <c r="C619" s="54"/>
      <c r="H619" s="72"/>
      <c r="J619" s="17"/>
      <c r="K619" s="149"/>
      <c r="L619" s="78"/>
    </row>
    <row r="620" spans="3:12" s="15" customFormat="1" ht="15.75" customHeight="1" x14ac:dyDescent="0.25">
      <c r="C620" s="54"/>
      <c r="H620" s="72"/>
      <c r="J620" s="17"/>
      <c r="K620" s="149"/>
      <c r="L620" s="78"/>
    </row>
    <row r="621" spans="3:12" s="15" customFormat="1" ht="15.75" customHeight="1" x14ac:dyDescent="0.25">
      <c r="C621" s="54"/>
      <c r="H621" s="72"/>
      <c r="J621" s="17"/>
      <c r="K621" s="149"/>
      <c r="L621" s="78"/>
    </row>
    <row r="622" spans="3:12" s="15" customFormat="1" ht="15.75" customHeight="1" x14ac:dyDescent="0.25">
      <c r="C622" s="54"/>
      <c r="H622" s="72"/>
      <c r="J622" s="17"/>
      <c r="K622" s="149"/>
      <c r="L622" s="78"/>
    </row>
    <row r="623" spans="3:12" s="15" customFormat="1" ht="15.75" customHeight="1" x14ac:dyDescent="0.25">
      <c r="C623" s="54"/>
      <c r="H623" s="72"/>
      <c r="J623" s="17"/>
      <c r="K623" s="149"/>
      <c r="L623" s="78"/>
    </row>
    <row r="624" spans="3:12" s="15" customFormat="1" ht="15.75" customHeight="1" x14ac:dyDescent="0.25">
      <c r="C624" s="54"/>
      <c r="H624" s="72"/>
      <c r="J624" s="17"/>
      <c r="K624" s="149"/>
      <c r="L624" s="78"/>
    </row>
    <row r="625" spans="3:12" s="15" customFormat="1" ht="15.75" customHeight="1" x14ac:dyDescent="0.25">
      <c r="C625" s="54"/>
      <c r="H625" s="72"/>
      <c r="J625" s="17"/>
      <c r="K625" s="149"/>
      <c r="L625" s="78"/>
    </row>
    <row r="626" spans="3:12" s="15" customFormat="1" ht="15.75" customHeight="1" x14ac:dyDescent="0.25">
      <c r="C626" s="54"/>
      <c r="H626" s="72"/>
      <c r="J626" s="17"/>
      <c r="K626" s="149"/>
      <c r="L626" s="78"/>
    </row>
    <row r="627" spans="3:12" s="15" customFormat="1" ht="15.75" customHeight="1" x14ac:dyDescent="0.25">
      <c r="C627" s="54"/>
      <c r="H627" s="72"/>
      <c r="J627" s="17"/>
      <c r="K627" s="149"/>
      <c r="L627" s="78"/>
    </row>
    <row r="628" spans="3:12" s="15" customFormat="1" ht="15.75" customHeight="1" x14ac:dyDescent="0.25">
      <c r="C628" s="54"/>
      <c r="H628" s="72"/>
      <c r="J628" s="17"/>
      <c r="K628" s="149"/>
      <c r="L628" s="78"/>
    </row>
    <row r="629" spans="3:12" s="15" customFormat="1" ht="15.75" customHeight="1" x14ac:dyDescent="0.25">
      <c r="C629" s="54"/>
      <c r="H629" s="72"/>
      <c r="J629" s="17"/>
      <c r="K629" s="149"/>
      <c r="L629" s="78"/>
    </row>
    <row r="630" spans="3:12" s="15" customFormat="1" ht="15.75" customHeight="1" x14ac:dyDescent="0.25">
      <c r="C630" s="54"/>
      <c r="H630" s="72"/>
      <c r="J630" s="17"/>
      <c r="K630" s="149"/>
      <c r="L630" s="78"/>
    </row>
    <row r="631" spans="3:12" s="15" customFormat="1" ht="15.75" customHeight="1" x14ac:dyDescent="0.25">
      <c r="C631" s="54"/>
      <c r="H631" s="72"/>
      <c r="J631" s="17"/>
      <c r="K631" s="149"/>
      <c r="L631" s="78"/>
    </row>
    <row r="632" spans="3:12" s="15" customFormat="1" ht="15.75" customHeight="1" x14ac:dyDescent="0.25">
      <c r="C632" s="54"/>
      <c r="H632" s="72"/>
      <c r="J632" s="17"/>
      <c r="K632" s="149"/>
      <c r="L632" s="78"/>
    </row>
    <row r="633" spans="3:12" s="15" customFormat="1" ht="15.75" customHeight="1" x14ac:dyDescent="0.25">
      <c r="C633" s="54"/>
      <c r="H633" s="72"/>
      <c r="J633" s="17"/>
      <c r="K633" s="149"/>
      <c r="L633" s="78"/>
    </row>
    <row r="634" spans="3:12" s="15" customFormat="1" ht="15.75" customHeight="1" x14ac:dyDescent="0.25">
      <c r="C634" s="54"/>
      <c r="H634" s="72"/>
      <c r="J634" s="17"/>
      <c r="K634" s="149"/>
      <c r="L634" s="78"/>
    </row>
    <row r="635" spans="3:12" s="15" customFormat="1" ht="15.75" customHeight="1" x14ac:dyDescent="0.25">
      <c r="C635" s="54"/>
      <c r="H635" s="72"/>
      <c r="J635" s="17"/>
      <c r="K635" s="149"/>
      <c r="L635" s="78"/>
    </row>
    <row r="636" spans="3:12" s="15" customFormat="1" ht="15.75" customHeight="1" x14ac:dyDescent="0.25">
      <c r="C636" s="54"/>
      <c r="H636" s="72"/>
      <c r="J636" s="17"/>
      <c r="K636" s="149"/>
      <c r="L636" s="78"/>
    </row>
    <row r="637" spans="3:12" s="15" customFormat="1" ht="15.75" customHeight="1" x14ac:dyDescent="0.25">
      <c r="C637" s="54"/>
      <c r="H637" s="72"/>
      <c r="J637" s="17"/>
      <c r="K637" s="149"/>
      <c r="L637" s="78"/>
    </row>
    <row r="638" spans="3:12" s="15" customFormat="1" ht="15.75" customHeight="1" x14ac:dyDescent="0.25">
      <c r="C638" s="54"/>
      <c r="H638" s="72"/>
      <c r="J638" s="17"/>
      <c r="K638" s="149"/>
      <c r="L638" s="78"/>
    </row>
    <row r="639" spans="3:12" s="15" customFormat="1" ht="15.75" customHeight="1" x14ac:dyDescent="0.25">
      <c r="C639" s="54"/>
      <c r="H639" s="72"/>
      <c r="J639" s="17"/>
      <c r="K639" s="149"/>
      <c r="L639" s="78"/>
    </row>
    <row r="640" spans="3:12" s="15" customFormat="1" ht="15.75" customHeight="1" x14ac:dyDescent="0.25">
      <c r="C640" s="54"/>
      <c r="H640" s="72"/>
      <c r="J640" s="17"/>
      <c r="K640" s="149"/>
      <c r="L640" s="78"/>
    </row>
    <row r="641" spans="3:12" s="15" customFormat="1" ht="15.75" customHeight="1" x14ac:dyDescent="0.25">
      <c r="C641" s="54"/>
      <c r="H641" s="72"/>
      <c r="J641" s="17"/>
      <c r="K641" s="149"/>
      <c r="L641" s="78"/>
    </row>
    <row r="642" spans="3:12" s="15" customFormat="1" ht="15.75" customHeight="1" x14ac:dyDescent="0.25">
      <c r="C642" s="54"/>
      <c r="H642" s="72"/>
      <c r="J642" s="17"/>
      <c r="K642" s="149"/>
      <c r="L642" s="78"/>
    </row>
    <row r="643" spans="3:12" s="15" customFormat="1" ht="15.75" customHeight="1" x14ac:dyDescent="0.25">
      <c r="C643" s="54"/>
      <c r="H643" s="72"/>
      <c r="J643" s="17"/>
      <c r="K643" s="149"/>
      <c r="L643" s="78"/>
    </row>
    <row r="644" spans="3:12" s="15" customFormat="1" ht="15.75" customHeight="1" x14ac:dyDescent="0.25">
      <c r="C644" s="54"/>
      <c r="H644" s="72"/>
      <c r="J644" s="17"/>
      <c r="K644" s="149"/>
      <c r="L644" s="78"/>
    </row>
    <row r="645" spans="3:12" s="15" customFormat="1" ht="15.75" customHeight="1" x14ac:dyDescent="0.25">
      <c r="C645" s="54"/>
      <c r="H645" s="72"/>
      <c r="J645" s="17"/>
      <c r="K645" s="149"/>
      <c r="L645" s="78"/>
    </row>
    <row r="646" spans="3:12" s="15" customFormat="1" ht="15.75" customHeight="1" x14ac:dyDescent="0.25">
      <c r="C646" s="54"/>
      <c r="H646" s="72"/>
      <c r="J646" s="17"/>
      <c r="K646" s="149"/>
      <c r="L646" s="78"/>
    </row>
    <row r="647" spans="3:12" s="15" customFormat="1" ht="15.75" customHeight="1" x14ac:dyDescent="0.25">
      <c r="C647" s="54"/>
      <c r="H647" s="72"/>
      <c r="J647" s="17"/>
      <c r="K647" s="149"/>
      <c r="L647" s="78"/>
    </row>
    <row r="648" spans="3:12" s="15" customFormat="1" ht="15.75" customHeight="1" x14ac:dyDescent="0.25">
      <c r="C648" s="54"/>
      <c r="H648" s="72"/>
      <c r="J648" s="17"/>
      <c r="K648" s="149"/>
      <c r="L648" s="78"/>
    </row>
    <row r="649" spans="3:12" s="15" customFormat="1" ht="15.75" customHeight="1" x14ac:dyDescent="0.25">
      <c r="C649" s="54"/>
      <c r="H649" s="72"/>
      <c r="J649" s="17"/>
      <c r="K649" s="149"/>
      <c r="L649" s="78"/>
    </row>
    <row r="650" spans="3:12" s="15" customFormat="1" ht="15.75" customHeight="1" x14ac:dyDescent="0.25">
      <c r="C650" s="54"/>
      <c r="H650" s="72"/>
      <c r="J650" s="17"/>
      <c r="K650" s="149"/>
      <c r="L650" s="78"/>
    </row>
    <row r="651" spans="3:12" s="15" customFormat="1" ht="15.75" customHeight="1" x14ac:dyDescent="0.25">
      <c r="C651" s="54"/>
      <c r="H651" s="72"/>
      <c r="J651" s="17"/>
      <c r="K651" s="149"/>
      <c r="L651" s="78"/>
    </row>
    <row r="652" spans="3:12" s="15" customFormat="1" ht="15.75" customHeight="1" x14ac:dyDescent="0.25">
      <c r="C652" s="54"/>
      <c r="H652" s="72"/>
      <c r="J652" s="17"/>
      <c r="K652" s="149"/>
      <c r="L652" s="78"/>
    </row>
    <row r="653" spans="3:12" s="15" customFormat="1" ht="15.75" customHeight="1" x14ac:dyDescent="0.25">
      <c r="C653" s="54"/>
      <c r="H653" s="72"/>
      <c r="J653" s="17"/>
      <c r="K653" s="149"/>
      <c r="L653" s="78"/>
    </row>
    <row r="654" spans="3:12" s="15" customFormat="1" ht="15.75" customHeight="1" x14ac:dyDescent="0.25">
      <c r="C654" s="54"/>
      <c r="H654" s="72"/>
      <c r="J654" s="17"/>
      <c r="K654" s="149"/>
      <c r="L654" s="78"/>
    </row>
    <row r="655" spans="3:12" s="15" customFormat="1" ht="15.75" customHeight="1" x14ac:dyDescent="0.25">
      <c r="C655" s="54"/>
      <c r="H655" s="72"/>
      <c r="J655" s="17"/>
      <c r="K655" s="149"/>
      <c r="L655" s="78"/>
    </row>
    <row r="656" spans="3:12" s="15" customFormat="1" ht="15.75" customHeight="1" x14ac:dyDescent="0.25">
      <c r="C656" s="54"/>
      <c r="H656" s="72"/>
      <c r="J656" s="17"/>
      <c r="K656" s="149"/>
      <c r="L656" s="78"/>
    </row>
    <row r="657" spans="3:12" s="15" customFormat="1" ht="15.75" customHeight="1" x14ac:dyDescent="0.25">
      <c r="C657" s="54"/>
      <c r="H657" s="72"/>
      <c r="J657" s="17"/>
      <c r="K657" s="149"/>
      <c r="L657" s="78"/>
    </row>
    <row r="658" spans="3:12" s="15" customFormat="1" ht="15.75" customHeight="1" x14ac:dyDescent="0.25">
      <c r="C658" s="54"/>
      <c r="H658" s="72"/>
      <c r="J658" s="17"/>
      <c r="K658" s="149"/>
      <c r="L658" s="78"/>
    </row>
    <row r="659" spans="3:12" s="15" customFormat="1" ht="15.75" customHeight="1" x14ac:dyDescent="0.25">
      <c r="C659" s="54"/>
      <c r="H659" s="72"/>
      <c r="J659" s="17"/>
      <c r="K659" s="149"/>
      <c r="L659" s="78"/>
    </row>
    <row r="660" spans="3:12" s="15" customFormat="1" ht="15.75" customHeight="1" x14ac:dyDescent="0.25">
      <c r="C660" s="54"/>
      <c r="H660" s="72"/>
      <c r="J660" s="17"/>
      <c r="K660" s="149"/>
      <c r="L660" s="78"/>
    </row>
    <row r="661" spans="3:12" s="15" customFormat="1" ht="15.75" customHeight="1" x14ac:dyDescent="0.25">
      <c r="C661" s="54"/>
      <c r="H661" s="72"/>
      <c r="J661" s="17"/>
      <c r="K661" s="149"/>
      <c r="L661" s="78"/>
    </row>
    <row r="662" spans="3:12" s="15" customFormat="1" ht="15.75" customHeight="1" x14ac:dyDescent="0.25">
      <c r="C662" s="54"/>
      <c r="H662" s="72"/>
      <c r="J662" s="17"/>
      <c r="K662" s="149"/>
      <c r="L662" s="78"/>
    </row>
    <row r="663" spans="3:12" s="15" customFormat="1" ht="15.75" customHeight="1" x14ac:dyDescent="0.25">
      <c r="C663" s="54"/>
      <c r="H663" s="72"/>
      <c r="J663" s="17"/>
      <c r="K663" s="149"/>
      <c r="L663" s="78"/>
    </row>
    <row r="664" spans="3:12" s="15" customFormat="1" ht="15.75" customHeight="1" x14ac:dyDescent="0.25">
      <c r="C664" s="54"/>
      <c r="H664" s="72"/>
      <c r="J664" s="17"/>
      <c r="K664" s="149"/>
      <c r="L664" s="78"/>
    </row>
    <row r="665" spans="3:12" s="15" customFormat="1" ht="15.75" customHeight="1" x14ac:dyDescent="0.25">
      <c r="C665" s="54"/>
      <c r="H665" s="72"/>
      <c r="J665" s="17"/>
      <c r="K665" s="149"/>
      <c r="L665" s="78"/>
    </row>
    <row r="666" spans="3:12" s="15" customFormat="1" ht="15.75" customHeight="1" x14ac:dyDescent="0.25">
      <c r="C666" s="54"/>
      <c r="H666" s="72"/>
      <c r="J666" s="17"/>
      <c r="K666" s="149"/>
      <c r="L666" s="78"/>
    </row>
    <row r="667" spans="3:12" s="15" customFormat="1" ht="15.75" customHeight="1" x14ac:dyDescent="0.25">
      <c r="C667" s="54"/>
      <c r="H667" s="72"/>
      <c r="J667" s="17"/>
      <c r="K667" s="149"/>
      <c r="L667" s="78"/>
    </row>
    <row r="668" spans="3:12" s="15" customFormat="1" ht="15.75" customHeight="1" x14ac:dyDescent="0.25">
      <c r="C668" s="54"/>
      <c r="H668" s="72"/>
      <c r="J668" s="17"/>
      <c r="K668" s="149"/>
      <c r="L668" s="78"/>
    </row>
    <row r="669" spans="3:12" s="15" customFormat="1" ht="15.75" customHeight="1" x14ac:dyDescent="0.25">
      <c r="C669" s="54"/>
      <c r="H669" s="72"/>
      <c r="J669" s="17"/>
      <c r="K669" s="149"/>
      <c r="L669" s="78"/>
    </row>
    <row r="670" spans="3:12" s="15" customFormat="1" ht="15.75" customHeight="1" x14ac:dyDescent="0.25">
      <c r="C670" s="54"/>
      <c r="H670" s="72"/>
      <c r="J670" s="17"/>
      <c r="K670" s="149"/>
      <c r="L670" s="78"/>
    </row>
    <row r="671" spans="3:12" s="15" customFormat="1" ht="15.75" customHeight="1" x14ac:dyDescent="0.25">
      <c r="C671" s="54"/>
      <c r="H671" s="72"/>
      <c r="J671" s="17"/>
      <c r="K671" s="149"/>
      <c r="L671" s="78"/>
    </row>
    <row r="672" spans="3:12" s="15" customFormat="1" ht="15.75" customHeight="1" x14ac:dyDescent="0.25">
      <c r="C672" s="54"/>
      <c r="H672" s="72"/>
      <c r="J672" s="17"/>
      <c r="K672" s="149"/>
      <c r="L672" s="78"/>
    </row>
    <row r="673" spans="3:12" s="15" customFormat="1" ht="15.75" customHeight="1" x14ac:dyDescent="0.25">
      <c r="C673" s="54"/>
      <c r="H673" s="72"/>
      <c r="J673" s="17"/>
      <c r="K673" s="149"/>
      <c r="L673" s="78"/>
    </row>
    <row r="674" spans="3:12" s="15" customFormat="1" ht="15.75" customHeight="1" x14ac:dyDescent="0.25">
      <c r="C674" s="54"/>
      <c r="H674" s="72"/>
      <c r="J674" s="17"/>
      <c r="K674" s="149"/>
      <c r="L674" s="78"/>
    </row>
    <row r="675" spans="3:12" s="15" customFormat="1" ht="15.75" customHeight="1" x14ac:dyDescent="0.25">
      <c r="C675" s="54"/>
      <c r="H675" s="72"/>
      <c r="J675" s="17"/>
      <c r="K675" s="149"/>
      <c r="L675" s="78"/>
    </row>
    <row r="676" spans="3:12" s="15" customFormat="1" ht="15.75" customHeight="1" x14ac:dyDescent="0.25">
      <c r="C676" s="54"/>
      <c r="H676" s="72"/>
      <c r="J676" s="17"/>
      <c r="K676" s="149"/>
      <c r="L676" s="78"/>
    </row>
    <row r="677" spans="3:12" s="15" customFormat="1" ht="15.75" customHeight="1" x14ac:dyDescent="0.25">
      <c r="C677" s="54"/>
      <c r="H677" s="72"/>
      <c r="J677" s="17"/>
      <c r="K677" s="149"/>
      <c r="L677" s="78"/>
    </row>
    <row r="678" spans="3:12" s="15" customFormat="1" ht="15.75" customHeight="1" x14ac:dyDescent="0.25">
      <c r="C678" s="54"/>
      <c r="H678" s="72"/>
      <c r="J678" s="17"/>
      <c r="K678" s="149"/>
      <c r="L678" s="78"/>
    </row>
    <row r="679" spans="3:12" s="15" customFormat="1" ht="15.75" customHeight="1" x14ac:dyDescent="0.25">
      <c r="C679" s="54"/>
      <c r="H679" s="72"/>
      <c r="J679" s="17"/>
      <c r="K679" s="149"/>
      <c r="L679" s="78"/>
    </row>
    <row r="680" spans="3:12" s="15" customFormat="1" ht="15.75" customHeight="1" x14ac:dyDescent="0.25">
      <c r="C680" s="54"/>
      <c r="H680" s="72"/>
      <c r="J680" s="17"/>
      <c r="K680" s="149"/>
      <c r="L680" s="78"/>
    </row>
    <row r="681" spans="3:12" s="15" customFormat="1" ht="15.75" customHeight="1" x14ac:dyDescent="0.25">
      <c r="C681" s="54"/>
      <c r="H681" s="72"/>
      <c r="J681" s="17"/>
      <c r="K681" s="149"/>
      <c r="L681" s="78"/>
    </row>
    <row r="682" spans="3:12" s="15" customFormat="1" ht="15.75" customHeight="1" x14ac:dyDescent="0.25">
      <c r="C682" s="54"/>
      <c r="H682" s="72"/>
      <c r="J682" s="17"/>
      <c r="K682" s="149"/>
      <c r="L682" s="78"/>
    </row>
    <row r="683" spans="3:12" s="15" customFormat="1" ht="15.75" customHeight="1" x14ac:dyDescent="0.25">
      <c r="C683" s="54"/>
      <c r="H683" s="72"/>
      <c r="J683" s="17"/>
      <c r="K683" s="149"/>
      <c r="L683" s="78"/>
    </row>
    <row r="684" spans="3:12" s="15" customFormat="1" ht="15.75" customHeight="1" x14ac:dyDescent="0.25">
      <c r="C684" s="54"/>
      <c r="H684" s="72"/>
      <c r="J684" s="17"/>
      <c r="K684" s="149"/>
      <c r="L684" s="78"/>
    </row>
    <row r="685" spans="3:12" s="15" customFormat="1" ht="15.75" customHeight="1" x14ac:dyDescent="0.25">
      <c r="C685" s="54"/>
      <c r="H685" s="72"/>
      <c r="J685" s="17"/>
      <c r="K685" s="149"/>
      <c r="L685" s="78"/>
    </row>
    <row r="686" spans="3:12" s="15" customFormat="1" ht="15.75" customHeight="1" x14ac:dyDescent="0.25">
      <c r="C686" s="54"/>
      <c r="H686" s="72"/>
      <c r="J686" s="17"/>
      <c r="K686" s="149"/>
      <c r="L686" s="78"/>
    </row>
    <row r="687" spans="3:12" s="15" customFormat="1" ht="15.75" customHeight="1" x14ac:dyDescent="0.25">
      <c r="C687" s="54"/>
      <c r="H687" s="72"/>
      <c r="J687" s="17"/>
      <c r="K687" s="149"/>
      <c r="L687" s="78"/>
    </row>
    <row r="688" spans="3:12" s="15" customFormat="1" ht="15.75" customHeight="1" x14ac:dyDescent="0.25">
      <c r="C688" s="54"/>
      <c r="H688" s="72"/>
      <c r="J688" s="17"/>
      <c r="K688" s="149"/>
      <c r="L688" s="78"/>
    </row>
    <row r="689" spans="3:12" s="15" customFormat="1" ht="15.75" customHeight="1" x14ac:dyDescent="0.25">
      <c r="C689" s="54"/>
      <c r="H689" s="72"/>
      <c r="J689" s="17"/>
      <c r="K689" s="149"/>
      <c r="L689" s="78"/>
    </row>
    <row r="690" spans="3:12" s="15" customFormat="1" ht="15.75" customHeight="1" x14ac:dyDescent="0.25">
      <c r="C690" s="54"/>
      <c r="H690" s="72"/>
      <c r="J690" s="17"/>
      <c r="K690" s="149"/>
      <c r="L690" s="78"/>
    </row>
    <row r="691" spans="3:12" s="15" customFormat="1" ht="15.75" customHeight="1" x14ac:dyDescent="0.25">
      <c r="C691" s="54"/>
      <c r="H691" s="72"/>
      <c r="J691" s="17"/>
      <c r="K691" s="149"/>
      <c r="L691" s="78"/>
    </row>
    <row r="692" spans="3:12" s="15" customFormat="1" ht="15.75" customHeight="1" x14ac:dyDescent="0.25">
      <c r="C692" s="54"/>
      <c r="H692" s="72"/>
      <c r="J692" s="17"/>
      <c r="K692" s="149"/>
      <c r="L692" s="78"/>
    </row>
    <row r="693" spans="3:12" s="15" customFormat="1" ht="15.75" customHeight="1" x14ac:dyDescent="0.25">
      <c r="C693" s="54"/>
      <c r="H693" s="72"/>
      <c r="J693" s="17"/>
      <c r="K693" s="149"/>
      <c r="L693" s="78"/>
    </row>
    <row r="694" spans="3:12" s="15" customFormat="1" ht="15.75" customHeight="1" x14ac:dyDescent="0.25">
      <c r="C694" s="54"/>
      <c r="H694" s="72"/>
      <c r="J694" s="17"/>
      <c r="K694" s="149"/>
      <c r="L694" s="78"/>
    </row>
    <row r="695" spans="3:12" s="15" customFormat="1" ht="15.75" customHeight="1" x14ac:dyDescent="0.25">
      <c r="C695" s="54"/>
      <c r="H695" s="72"/>
      <c r="J695" s="17"/>
      <c r="K695" s="149"/>
      <c r="L695" s="78"/>
    </row>
    <row r="696" spans="3:12" s="15" customFormat="1" ht="15.75" customHeight="1" x14ac:dyDescent="0.25">
      <c r="C696" s="54"/>
      <c r="H696" s="72"/>
      <c r="J696" s="17"/>
      <c r="K696" s="149"/>
      <c r="L696" s="78"/>
    </row>
    <row r="697" spans="3:12" s="15" customFormat="1" ht="15.75" customHeight="1" x14ac:dyDescent="0.25">
      <c r="C697" s="54"/>
      <c r="H697" s="72"/>
      <c r="J697" s="17"/>
      <c r="K697" s="149"/>
      <c r="L697" s="78"/>
    </row>
    <row r="698" spans="3:12" s="15" customFormat="1" ht="15.75" customHeight="1" x14ac:dyDescent="0.25">
      <c r="C698" s="54"/>
      <c r="H698" s="72"/>
      <c r="J698" s="17"/>
      <c r="K698" s="149"/>
      <c r="L698" s="78"/>
    </row>
    <row r="699" spans="3:12" s="15" customFormat="1" ht="15.75" customHeight="1" x14ac:dyDescent="0.25">
      <c r="C699" s="54"/>
      <c r="H699" s="72"/>
      <c r="J699" s="17"/>
      <c r="K699" s="149"/>
      <c r="L699" s="78"/>
    </row>
    <row r="700" spans="3:12" s="15" customFormat="1" ht="15.75" customHeight="1" x14ac:dyDescent="0.25">
      <c r="C700" s="54"/>
      <c r="H700" s="72"/>
      <c r="J700" s="17"/>
      <c r="K700" s="149"/>
      <c r="L700" s="78"/>
    </row>
    <row r="701" spans="3:12" s="15" customFormat="1" ht="15.75" customHeight="1" x14ac:dyDescent="0.25">
      <c r="C701" s="54"/>
      <c r="H701" s="72"/>
      <c r="J701" s="17"/>
      <c r="K701" s="149"/>
      <c r="L701" s="78"/>
    </row>
    <row r="702" spans="3:12" s="15" customFormat="1" ht="15.75" customHeight="1" x14ac:dyDescent="0.25">
      <c r="C702" s="54"/>
      <c r="H702" s="72"/>
      <c r="J702" s="17"/>
      <c r="K702" s="149"/>
      <c r="L702" s="78"/>
    </row>
    <row r="703" spans="3:12" s="15" customFormat="1" ht="15.75" customHeight="1" x14ac:dyDescent="0.25">
      <c r="C703" s="54"/>
      <c r="H703" s="72"/>
      <c r="J703" s="17"/>
      <c r="K703" s="149"/>
      <c r="L703" s="78"/>
    </row>
    <row r="704" spans="3:12" s="15" customFormat="1" ht="15.75" customHeight="1" x14ac:dyDescent="0.25">
      <c r="C704" s="54"/>
      <c r="H704" s="72"/>
      <c r="J704" s="17"/>
      <c r="K704" s="149"/>
      <c r="L704" s="78"/>
    </row>
    <row r="705" spans="3:12" s="15" customFormat="1" ht="15.75" customHeight="1" x14ac:dyDescent="0.25">
      <c r="C705" s="54"/>
      <c r="H705" s="72"/>
      <c r="J705" s="17"/>
      <c r="K705" s="149"/>
      <c r="L705" s="78"/>
    </row>
    <row r="706" spans="3:12" s="15" customFormat="1" ht="15.75" customHeight="1" x14ac:dyDescent="0.25">
      <c r="C706" s="54"/>
      <c r="H706" s="72"/>
      <c r="J706" s="17"/>
      <c r="K706" s="149"/>
      <c r="L706" s="78"/>
    </row>
    <row r="707" spans="3:12" s="15" customFormat="1" ht="15.75" customHeight="1" x14ac:dyDescent="0.25">
      <c r="C707" s="54"/>
      <c r="H707" s="72"/>
      <c r="J707" s="17"/>
      <c r="K707" s="149"/>
      <c r="L707" s="78"/>
    </row>
    <row r="708" spans="3:12" s="15" customFormat="1" ht="15.75" customHeight="1" x14ac:dyDescent="0.25">
      <c r="C708" s="54"/>
      <c r="H708" s="72"/>
      <c r="J708" s="17"/>
      <c r="K708" s="149"/>
      <c r="L708" s="78"/>
    </row>
    <row r="709" spans="3:12" s="15" customFormat="1" ht="15.75" customHeight="1" x14ac:dyDescent="0.25">
      <c r="C709" s="54"/>
      <c r="H709" s="72"/>
      <c r="J709" s="17"/>
      <c r="K709" s="149"/>
      <c r="L709" s="78"/>
    </row>
    <row r="710" spans="3:12" s="15" customFormat="1" ht="15.75" customHeight="1" x14ac:dyDescent="0.25">
      <c r="C710" s="54"/>
      <c r="H710" s="72"/>
      <c r="J710" s="17"/>
      <c r="K710" s="149"/>
      <c r="L710" s="78"/>
    </row>
    <row r="711" spans="3:12" s="15" customFormat="1" ht="15.75" customHeight="1" x14ac:dyDescent="0.25">
      <c r="C711" s="54"/>
      <c r="H711" s="72"/>
      <c r="J711" s="17"/>
      <c r="K711" s="149"/>
      <c r="L711" s="78"/>
    </row>
    <row r="712" spans="3:12" s="15" customFormat="1" ht="15.75" customHeight="1" x14ac:dyDescent="0.25">
      <c r="C712" s="54"/>
      <c r="H712" s="72"/>
      <c r="J712" s="17"/>
      <c r="K712" s="149"/>
      <c r="L712" s="78"/>
    </row>
    <row r="713" spans="3:12" s="15" customFormat="1" ht="15.75" customHeight="1" x14ac:dyDescent="0.25">
      <c r="C713" s="54"/>
      <c r="H713" s="72"/>
      <c r="J713" s="17"/>
      <c r="K713" s="149"/>
      <c r="L713" s="78"/>
    </row>
    <row r="714" spans="3:12" s="15" customFormat="1" ht="15.75" customHeight="1" x14ac:dyDescent="0.25">
      <c r="C714" s="54"/>
      <c r="H714" s="72"/>
      <c r="J714" s="17"/>
      <c r="K714" s="149"/>
      <c r="L714" s="78"/>
    </row>
    <row r="715" spans="3:12" s="15" customFormat="1" ht="15.75" customHeight="1" x14ac:dyDescent="0.25">
      <c r="C715" s="54"/>
      <c r="H715" s="72"/>
      <c r="J715" s="17"/>
      <c r="K715" s="149"/>
      <c r="L715" s="78"/>
    </row>
    <row r="716" spans="3:12" s="15" customFormat="1" ht="15.75" customHeight="1" x14ac:dyDescent="0.25">
      <c r="C716" s="54"/>
      <c r="H716" s="72"/>
      <c r="J716" s="17"/>
      <c r="K716" s="149"/>
      <c r="L716" s="78"/>
    </row>
    <row r="717" spans="3:12" s="15" customFormat="1" ht="15.75" customHeight="1" x14ac:dyDescent="0.25">
      <c r="C717" s="54"/>
      <c r="H717" s="72"/>
      <c r="J717" s="17"/>
      <c r="K717" s="149"/>
      <c r="L717" s="78"/>
    </row>
    <row r="718" spans="3:12" s="15" customFormat="1" ht="15.75" customHeight="1" x14ac:dyDescent="0.25">
      <c r="C718" s="54"/>
      <c r="H718" s="72"/>
      <c r="J718" s="17"/>
      <c r="K718" s="149"/>
      <c r="L718" s="78"/>
    </row>
    <row r="719" spans="3:12" s="15" customFormat="1" ht="15.75" customHeight="1" x14ac:dyDescent="0.25">
      <c r="C719" s="54"/>
      <c r="H719" s="72"/>
      <c r="J719" s="17"/>
      <c r="K719" s="149"/>
      <c r="L719" s="78"/>
    </row>
    <row r="720" spans="3:12" s="15" customFormat="1" ht="15.75" customHeight="1" x14ac:dyDescent="0.25">
      <c r="C720" s="54"/>
      <c r="H720" s="72"/>
      <c r="J720" s="17"/>
      <c r="K720" s="149"/>
      <c r="L720" s="78"/>
    </row>
    <row r="721" spans="3:12" s="15" customFormat="1" ht="15.75" customHeight="1" x14ac:dyDescent="0.25">
      <c r="C721" s="54"/>
      <c r="H721" s="72"/>
      <c r="J721" s="17"/>
      <c r="K721" s="149"/>
      <c r="L721" s="78"/>
    </row>
    <row r="722" spans="3:12" s="15" customFormat="1" ht="15.75" customHeight="1" x14ac:dyDescent="0.25">
      <c r="C722" s="54"/>
      <c r="H722" s="72"/>
      <c r="J722" s="17"/>
      <c r="K722" s="149"/>
      <c r="L722" s="78"/>
    </row>
    <row r="723" spans="3:12" s="15" customFormat="1" ht="15.75" customHeight="1" x14ac:dyDescent="0.25">
      <c r="C723" s="54"/>
      <c r="H723" s="72"/>
      <c r="J723" s="17"/>
      <c r="K723" s="149"/>
      <c r="L723" s="78"/>
    </row>
    <row r="724" spans="3:12" s="15" customFormat="1" ht="15.75" customHeight="1" x14ac:dyDescent="0.25">
      <c r="C724" s="54"/>
      <c r="H724" s="72"/>
      <c r="J724" s="17"/>
      <c r="K724" s="149"/>
      <c r="L724" s="78"/>
    </row>
    <row r="725" spans="3:12" s="15" customFormat="1" ht="15.75" customHeight="1" x14ac:dyDescent="0.25">
      <c r="C725" s="54"/>
      <c r="H725" s="72"/>
      <c r="J725" s="17"/>
      <c r="K725" s="149"/>
      <c r="L725" s="78"/>
    </row>
    <row r="726" spans="3:12" s="15" customFormat="1" ht="15.75" customHeight="1" x14ac:dyDescent="0.25">
      <c r="C726" s="54"/>
      <c r="H726" s="72"/>
      <c r="J726" s="17"/>
      <c r="K726" s="149"/>
      <c r="L726" s="78"/>
    </row>
    <row r="727" spans="3:12" s="15" customFormat="1" ht="15.75" customHeight="1" x14ac:dyDescent="0.25">
      <c r="C727" s="54"/>
      <c r="H727" s="72"/>
      <c r="J727" s="17"/>
      <c r="K727" s="149"/>
      <c r="L727" s="78"/>
    </row>
    <row r="728" spans="3:12" s="15" customFormat="1" ht="15.75" customHeight="1" x14ac:dyDescent="0.25">
      <c r="C728" s="54"/>
      <c r="H728" s="72"/>
      <c r="J728" s="17"/>
      <c r="K728" s="149"/>
      <c r="L728" s="78"/>
    </row>
    <row r="729" spans="3:12" s="15" customFormat="1" ht="15.75" customHeight="1" x14ac:dyDescent="0.25">
      <c r="C729" s="54"/>
      <c r="H729" s="72"/>
      <c r="J729" s="17"/>
      <c r="K729" s="149"/>
      <c r="L729" s="78"/>
    </row>
    <row r="730" spans="3:12" s="15" customFormat="1" ht="15.75" customHeight="1" x14ac:dyDescent="0.25">
      <c r="C730" s="54"/>
      <c r="H730" s="72"/>
      <c r="J730" s="17"/>
      <c r="K730" s="149"/>
      <c r="L730" s="78"/>
    </row>
    <row r="731" spans="3:12" s="15" customFormat="1" ht="15.75" customHeight="1" x14ac:dyDescent="0.25">
      <c r="C731" s="54"/>
      <c r="H731" s="72"/>
      <c r="J731" s="17"/>
      <c r="K731" s="149"/>
      <c r="L731" s="78"/>
    </row>
    <row r="732" spans="3:12" s="15" customFormat="1" ht="15.75" customHeight="1" x14ac:dyDescent="0.25">
      <c r="C732" s="54"/>
      <c r="H732" s="72"/>
      <c r="J732" s="17"/>
      <c r="K732" s="149"/>
      <c r="L732" s="78"/>
    </row>
    <row r="733" spans="3:12" s="15" customFormat="1" ht="15.75" customHeight="1" x14ac:dyDescent="0.25">
      <c r="C733" s="54"/>
      <c r="H733" s="72"/>
      <c r="J733" s="17"/>
      <c r="K733" s="149"/>
      <c r="L733" s="78"/>
    </row>
    <row r="734" spans="3:12" s="15" customFormat="1" ht="15.75" customHeight="1" x14ac:dyDescent="0.25">
      <c r="C734" s="54"/>
      <c r="H734" s="72"/>
      <c r="J734" s="17"/>
      <c r="K734" s="149"/>
      <c r="L734" s="78"/>
    </row>
    <row r="735" spans="3:12" s="15" customFormat="1" ht="15.75" customHeight="1" x14ac:dyDescent="0.25">
      <c r="C735" s="54"/>
      <c r="H735" s="72"/>
      <c r="J735" s="17"/>
      <c r="K735" s="149"/>
      <c r="L735" s="78"/>
    </row>
    <row r="736" spans="3:12" s="15" customFormat="1" ht="15.75" customHeight="1" x14ac:dyDescent="0.25">
      <c r="C736" s="54"/>
      <c r="H736" s="72"/>
      <c r="J736" s="17"/>
      <c r="K736" s="149"/>
      <c r="L736" s="78"/>
    </row>
    <row r="737" spans="3:12" s="15" customFormat="1" ht="15.75" customHeight="1" x14ac:dyDescent="0.25">
      <c r="C737" s="54"/>
      <c r="H737" s="72"/>
      <c r="J737" s="17"/>
      <c r="K737" s="149"/>
      <c r="L737" s="78"/>
    </row>
    <row r="738" spans="3:12" s="15" customFormat="1" ht="15.75" customHeight="1" x14ac:dyDescent="0.25">
      <c r="C738" s="54"/>
      <c r="H738" s="72"/>
      <c r="J738" s="17"/>
      <c r="K738" s="149"/>
      <c r="L738" s="78"/>
    </row>
    <row r="739" spans="3:12" s="15" customFormat="1" ht="15.75" customHeight="1" x14ac:dyDescent="0.25">
      <c r="C739" s="54"/>
      <c r="H739" s="72"/>
      <c r="J739" s="17"/>
      <c r="K739" s="149"/>
      <c r="L739" s="78"/>
    </row>
    <row r="740" spans="3:12" s="15" customFormat="1" ht="15.75" customHeight="1" x14ac:dyDescent="0.25">
      <c r="C740" s="54"/>
      <c r="H740" s="72"/>
      <c r="J740" s="17"/>
      <c r="K740" s="149"/>
      <c r="L740" s="78"/>
    </row>
    <row r="741" spans="3:12" s="15" customFormat="1" ht="15.75" customHeight="1" x14ac:dyDescent="0.25">
      <c r="C741" s="54"/>
      <c r="H741" s="72"/>
      <c r="J741" s="17"/>
      <c r="K741" s="149"/>
      <c r="L741" s="78"/>
    </row>
    <row r="742" spans="3:12" s="15" customFormat="1" ht="15.75" customHeight="1" x14ac:dyDescent="0.25">
      <c r="C742" s="54"/>
      <c r="H742" s="72"/>
      <c r="J742" s="17"/>
      <c r="K742" s="149"/>
      <c r="L742" s="78"/>
    </row>
    <row r="743" spans="3:12" s="15" customFormat="1" ht="15.75" customHeight="1" x14ac:dyDescent="0.25">
      <c r="C743" s="54"/>
      <c r="H743" s="72"/>
      <c r="J743" s="17"/>
      <c r="K743" s="149"/>
      <c r="L743" s="78"/>
    </row>
    <row r="744" spans="3:12" s="15" customFormat="1" ht="15.75" customHeight="1" x14ac:dyDescent="0.25">
      <c r="C744" s="54"/>
      <c r="H744" s="72"/>
      <c r="J744" s="17"/>
      <c r="K744" s="149"/>
      <c r="L744" s="78"/>
    </row>
    <row r="745" spans="3:12" s="15" customFormat="1" ht="15.75" customHeight="1" x14ac:dyDescent="0.25">
      <c r="C745" s="54"/>
      <c r="H745" s="72"/>
      <c r="J745" s="17"/>
      <c r="K745" s="149"/>
      <c r="L745" s="78"/>
    </row>
    <row r="746" spans="3:12" s="15" customFormat="1" ht="15.75" customHeight="1" x14ac:dyDescent="0.25">
      <c r="C746" s="54"/>
      <c r="H746" s="72"/>
      <c r="J746" s="17"/>
      <c r="K746" s="149"/>
      <c r="L746" s="78"/>
    </row>
    <row r="747" spans="3:12" s="15" customFormat="1" ht="15.75" customHeight="1" x14ac:dyDescent="0.25">
      <c r="C747" s="54"/>
      <c r="H747" s="72"/>
      <c r="J747" s="17"/>
      <c r="K747" s="149"/>
      <c r="L747" s="78"/>
    </row>
    <row r="748" spans="3:12" s="15" customFormat="1" ht="15.75" customHeight="1" x14ac:dyDescent="0.25">
      <c r="C748" s="54"/>
      <c r="H748" s="72"/>
      <c r="J748" s="17"/>
      <c r="K748" s="149"/>
      <c r="L748" s="78"/>
    </row>
    <row r="749" spans="3:12" s="15" customFormat="1" ht="15.75" customHeight="1" x14ac:dyDescent="0.25">
      <c r="C749" s="54"/>
      <c r="H749" s="72"/>
      <c r="J749" s="17"/>
      <c r="K749" s="149"/>
      <c r="L749" s="78"/>
    </row>
    <row r="750" spans="3:12" s="15" customFormat="1" ht="15.75" customHeight="1" x14ac:dyDescent="0.25">
      <c r="C750" s="54"/>
      <c r="H750" s="72"/>
      <c r="J750" s="17"/>
      <c r="K750" s="149"/>
      <c r="L750" s="78"/>
    </row>
    <row r="751" spans="3:12" s="15" customFormat="1" ht="15.75" customHeight="1" x14ac:dyDescent="0.25">
      <c r="C751" s="54"/>
      <c r="H751" s="72"/>
      <c r="J751" s="17"/>
      <c r="K751" s="149"/>
      <c r="L751" s="78"/>
    </row>
    <row r="752" spans="3:12" s="15" customFormat="1" ht="15.75" customHeight="1" x14ac:dyDescent="0.25">
      <c r="C752" s="54"/>
      <c r="H752" s="72"/>
      <c r="J752" s="17"/>
      <c r="K752" s="149"/>
      <c r="L752" s="78"/>
    </row>
    <row r="753" spans="3:12" s="15" customFormat="1" ht="15.75" customHeight="1" x14ac:dyDescent="0.25">
      <c r="C753" s="54"/>
      <c r="H753" s="72"/>
      <c r="J753" s="17"/>
      <c r="K753" s="149"/>
      <c r="L753" s="78"/>
    </row>
    <row r="754" spans="3:12" s="15" customFormat="1" ht="15.75" customHeight="1" x14ac:dyDescent="0.25">
      <c r="C754" s="54"/>
      <c r="H754" s="72"/>
      <c r="J754" s="17"/>
      <c r="K754" s="149"/>
      <c r="L754" s="78"/>
    </row>
    <row r="755" spans="3:12" s="15" customFormat="1" ht="15.75" customHeight="1" x14ac:dyDescent="0.25">
      <c r="C755" s="54"/>
      <c r="H755" s="72"/>
      <c r="J755" s="17"/>
      <c r="K755" s="149"/>
      <c r="L755" s="78"/>
    </row>
    <row r="756" spans="3:12" s="15" customFormat="1" ht="15.75" customHeight="1" x14ac:dyDescent="0.25">
      <c r="C756" s="54"/>
      <c r="H756" s="72"/>
      <c r="J756" s="17"/>
      <c r="K756" s="149"/>
      <c r="L756" s="78"/>
    </row>
    <row r="757" spans="3:12" s="15" customFormat="1" ht="15.75" customHeight="1" x14ac:dyDescent="0.25">
      <c r="C757" s="54"/>
      <c r="H757" s="72"/>
      <c r="J757" s="17"/>
      <c r="K757" s="149"/>
      <c r="L757" s="78"/>
    </row>
    <row r="758" spans="3:12" s="15" customFormat="1" ht="15.75" customHeight="1" x14ac:dyDescent="0.25">
      <c r="C758" s="54"/>
      <c r="H758" s="72"/>
      <c r="J758" s="17"/>
      <c r="K758" s="149"/>
      <c r="L758" s="78"/>
    </row>
    <row r="759" spans="3:12" s="15" customFormat="1" ht="15.75" customHeight="1" x14ac:dyDescent="0.25">
      <c r="C759" s="54"/>
      <c r="H759" s="72"/>
      <c r="J759" s="17"/>
      <c r="K759" s="149"/>
      <c r="L759" s="78"/>
    </row>
    <row r="760" spans="3:12" s="15" customFormat="1" ht="15.75" customHeight="1" x14ac:dyDescent="0.25">
      <c r="C760" s="54"/>
      <c r="H760" s="72"/>
      <c r="J760" s="17"/>
      <c r="K760" s="149"/>
      <c r="L760" s="78"/>
    </row>
    <row r="761" spans="3:12" s="15" customFormat="1" ht="15.75" customHeight="1" x14ac:dyDescent="0.25">
      <c r="C761" s="54"/>
      <c r="H761" s="72"/>
      <c r="J761" s="17"/>
      <c r="K761" s="149"/>
      <c r="L761" s="78"/>
    </row>
    <row r="762" spans="3:12" s="15" customFormat="1" ht="15.75" customHeight="1" x14ac:dyDescent="0.25">
      <c r="C762" s="54"/>
      <c r="H762" s="72"/>
      <c r="J762" s="17"/>
      <c r="K762" s="149"/>
      <c r="L762" s="78"/>
    </row>
    <row r="763" spans="3:12" s="15" customFormat="1" ht="15.75" customHeight="1" x14ac:dyDescent="0.25">
      <c r="C763" s="54"/>
      <c r="H763" s="72"/>
      <c r="J763" s="17"/>
      <c r="K763" s="149"/>
      <c r="L763" s="78"/>
    </row>
    <row r="764" spans="3:12" s="15" customFormat="1" ht="15.75" customHeight="1" x14ac:dyDescent="0.25">
      <c r="C764" s="54"/>
      <c r="H764" s="72"/>
      <c r="J764" s="17"/>
      <c r="K764" s="149"/>
      <c r="L764" s="78"/>
    </row>
    <row r="765" spans="3:12" s="15" customFormat="1" ht="15.75" customHeight="1" x14ac:dyDescent="0.25">
      <c r="C765" s="54"/>
      <c r="H765" s="72"/>
      <c r="J765" s="17"/>
      <c r="K765" s="149"/>
      <c r="L765" s="78"/>
    </row>
    <row r="766" spans="3:12" s="15" customFormat="1" ht="15.75" customHeight="1" x14ac:dyDescent="0.25">
      <c r="C766" s="54"/>
      <c r="H766" s="72"/>
      <c r="J766" s="17"/>
      <c r="K766" s="149"/>
      <c r="L766" s="78"/>
    </row>
    <row r="767" spans="3:12" s="15" customFormat="1" ht="15.75" customHeight="1" x14ac:dyDescent="0.25">
      <c r="C767" s="54"/>
      <c r="H767" s="72"/>
      <c r="J767" s="17"/>
      <c r="K767" s="149"/>
      <c r="L767" s="78"/>
    </row>
    <row r="768" spans="3:12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B3:J365" xr:uid="{00000000-0009-0000-0000-000002000000}">
    <sortState xmlns:xlrd2="http://schemas.microsoft.com/office/spreadsheetml/2017/richdata2" ref="B68:J93">
      <sortCondition ref="F3:F365"/>
    </sortState>
  </autoFilter>
  <sortState xmlns:xlrd2="http://schemas.microsoft.com/office/spreadsheetml/2017/richdata2" ref="B4:K365">
    <sortCondition ref="C40:C365"/>
  </sortState>
  <mergeCells count="1">
    <mergeCell ref="B2:L2"/>
  </mergeCells>
  <phoneticPr fontId="18" type="noConversion"/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0000000}">
          <x14:formula1>
            <xm:f>Datos!$F$4:$F$34</xm:f>
          </x14:formula1>
          <xm:sqref>C4:C93</xm:sqref>
        </x14:dataValidation>
        <x14:dataValidation type="list" allowBlank="1" showErrorMessage="1" xr:uid="{00000000-0002-0000-0200-000001000000}">
          <x14:formula1>
            <xm:f>Datos!$D$4:$D$15</xm:f>
          </x14:formula1>
          <xm:sqref>B4:B365</xm:sqref>
        </x14:dataValidation>
        <x14:dataValidation type="list" allowBlank="1" showInputMessage="1" showErrorMessage="1" xr:uid="{00000000-0002-0000-0200-000002000000}">
          <x14:formula1>
            <xm:f>Datos!$B$4:$B$6</xm:f>
          </x14:formula1>
          <xm:sqref>J4:J365</xm:sqref>
        </x14:dataValidation>
        <x14:dataValidation type="list" allowBlank="1" showInputMessage="1" showErrorMessage="1" xr:uid="{00000000-0002-0000-0200-000004000000}">
          <x14:formula1>
            <xm:f>Datos!$I$4:$I$102</xm:f>
          </x14:formula1>
          <xm:sqref>D4:E365</xm:sqref>
        </x14:dataValidation>
        <x14:dataValidation type="list" allowBlank="1" showErrorMessage="1" xr:uid="{00000000-0002-0000-0200-000005000000}">
          <x14:formula1>
            <xm:f>Product!$C$5:$C$24</xm:f>
          </x14:formula1>
          <xm:sqref>F4:F365</xm:sqref>
        </x14:dataValidation>
        <x14:dataValidation type="list" allowBlank="1" showErrorMessage="1" xr:uid="{09C2145E-56AE-4CA9-B7AF-58E83D259015}">
          <x14:formula1>
            <xm:f>Datos!$F$4:$F$100</xm:f>
          </x14:formula1>
          <xm:sqref>C94:C365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E1000"/>
  <sheetViews>
    <sheetView zoomScaleNormal="100" workbookViewId="0">
      <selection activeCell="E15" sqref="E15"/>
    </sheetView>
  </sheetViews>
  <sheetFormatPr baseColWidth="10" defaultColWidth="14.42578125" defaultRowHeight="15" customHeight="1" x14ac:dyDescent="0.25"/>
  <cols>
    <col min="1" max="1" width="10.7109375" style="15" customWidth="1"/>
    <col min="2" max="2" width="12.28515625" customWidth="1"/>
    <col min="3" max="3" width="22.5703125" customWidth="1"/>
    <col min="4" max="4" width="12.85546875" customWidth="1"/>
    <col min="5" max="13" width="10.7109375" customWidth="1"/>
    <col min="14" max="14" width="10.7109375" style="91" customWidth="1"/>
    <col min="15" max="24" width="10.7109375" style="15" customWidth="1"/>
    <col min="25" max="57" width="14.42578125" style="15"/>
  </cols>
  <sheetData>
    <row r="1" spans="2:14" s="15" customFormat="1" ht="18.75" thickBot="1" x14ac:dyDescent="0.3">
      <c r="B1" s="173" t="s">
        <v>99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2:14" ht="17.25" thickBot="1" x14ac:dyDescent="0.35">
      <c r="B2" s="8" t="s">
        <v>5</v>
      </c>
      <c r="C2" s="8" t="s">
        <v>15</v>
      </c>
      <c r="D2" s="8" t="s">
        <v>90</v>
      </c>
      <c r="E2" s="8" t="s">
        <v>91</v>
      </c>
      <c r="F2" s="8" t="s">
        <v>42</v>
      </c>
      <c r="G2" s="8" t="s">
        <v>92</v>
      </c>
      <c r="H2" s="8" t="s">
        <v>93</v>
      </c>
      <c r="I2" s="8" t="s">
        <v>94</v>
      </c>
      <c r="J2" s="8" t="s">
        <v>95</v>
      </c>
      <c r="K2" s="8" t="s">
        <v>96</v>
      </c>
      <c r="L2" s="8" t="s">
        <v>97</v>
      </c>
      <c r="M2" s="8" t="s">
        <v>98</v>
      </c>
      <c r="N2" s="88" t="s">
        <v>16</v>
      </c>
    </row>
    <row r="3" spans="2:14" ht="15.75" customHeight="1" x14ac:dyDescent="0.3">
      <c r="B3" s="4">
        <v>1</v>
      </c>
      <c r="C3" s="7" t="str">
        <f>Product!C5</f>
        <v xml:space="preserve">Pica extremo </v>
      </c>
      <c r="D3" s="62">
        <f>SUMIFS(Venta!$I$4:$I$365,Venta!$F$4:$F$365,'Venta Semana'!C3,Venta!$B$4:$B$365,'Venta Semana'!$D$2)/(130)</f>
        <v>43</v>
      </c>
      <c r="E3" s="62">
        <f>SUMIFS(Venta!$I$4:$I$365,Venta!$F$4:$F$365,'Venta Semana'!C3,Venta!$B$4:$B$365,'Venta Semana'!$E$12)/(130)</f>
        <v>10</v>
      </c>
      <c r="F3" s="62">
        <f>SUMIFS(Venta!$I$4:$I$365,Venta!$F$4:$F$365,'Venta Semana'!C3,Venta!$B$4:$B$365,'Venta Semana'!$F$12)/(130)</f>
        <v>16</v>
      </c>
      <c r="G3" s="62">
        <f>SUMIFS(Venta!$I$4:$I$365,Venta!$F$4:$F$365,'Venta Semana'!C3,Venta!$B$4:$B$365,'Venta Semana'!$G$12)/(130)</f>
        <v>10</v>
      </c>
      <c r="H3" s="62">
        <f>SUMIFS(Venta!$I$4:$I$365,Venta!$F$4:$F$365,'Venta Semana'!C3,Venta!$B$4:$B$365,'Venta Semana'!$H$12)/(130)</f>
        <v>0</v>
      </c>
      <c r="I3" s="62">
        <f>SUMIFS(Venta!$I$4:$I$365,Venta!$F$4:$F$365,'Venta Semana'!C3,Venta!$B$4:$B$365,'Venta Semana'!$I$12)</f>
        <v>0</v>
      </c>
      <c r="J3" s="62">
        <f>SUMIFS(Venta!$I$4:$I$365,Venta!$F$4:$F$365,'Venta Semana'!C3,Venta!$B$4:$B$365,'Venta Semana'!$J$12)</f>
        <v>0</v>
      </c>
      <c r="K3" s="62">
        <f>SUMIFS(Venta!$I$4:$I$365,Venta!$F$4:$F$365,'Venta Semana'!C3,Venta!$B$4:$B$365,'Venta Semana'!$K$12)</f>
        <v>0</v>
      </c>
      <c r="L3" s="62">
        <f>SUMIFS(Venta!$I$4:$I$365,Venta!$F$4:$F$365,'Venta Semana'!C3,Venta!$B$4:$B$365,'Venta Semana'!$L$12)</f>
        <v>0</v>
      </c>
      <c r="M3" s="62">
        <f>SUMIFS(Venta!$I$4:$I$365,Venta!$F$4:$F$365,'Venta Semana'!C3,Venta!$B$4:$B$365,'Venta Semana'!$M$12)</f>
        <v>0</v>
      </c>
      <c r="N3" s="62">
        <f>SUM(D3:M3)</f>
        <v>79</v>
      </c>
    </row>
    <row r="4" spans="2:14" ht="16.5" x14ac:dyDescent="0.3">
      <c r="B4" s="5">
        <v>2</v>
      </c>
      <c r="C4" s="7" t="str">
        <f>Product!C6</f>
        <v>Pica rico</v>
      </c>
      <c r="D4" s="62">
        <f>SUMIFS(Venta!$I$4:$I$365,Venta!$F$4:$F$365,'Venta Semana'!C4,Venta!$B$4:$B$365,'Venta Semana'!$D$12)/(130)</f>
        <v>22</v>
      </c>
      <c r="E4" s="62">
        <f>SUMIFS(Venta!$I$4:$I$365,Venta!$F$4:$F$365,'Venta Semana'!C4,Venta!$B$4:$B$365,'Venta Semana'!$E$12)/(130)</f>
        <v>16</v>
      </c>
      <c r="F4" s="62">
        <f>SUMIFS(Venta!$I$4:$I$365,Venta!$F$4:$F$365,'Venta Semana'!C4,Venta!$B$4:$B$365,'Venta Semana'!$F$12)/(130)</f>
        <v>13</v>
      </c>
      <c r="G4" s="62">
        <f>SUMIFS(Venta!$I$4:$I$365,Venta!$F$4:$F$365,'Venta Semana'!C4,Venta!$B$4:$B$365,'Venta Semana'!$G$12)/(130)</f>
        <v>4</v>
      </c>
      <c r="H4" s="62">
        <f>SUMIFS(Venta!$I$4:$I$365,Venta!$F$4:$F$365,'Venta Semana'!C4,Venta!$B$4:$B$365,'Venta Semana'!$H$12)/(130)</f>
        <v>0</v>
      </c>
      <c r="I4" s="62">
        <f>SUMIFS(Venta!$I$4:$I$365,Venta!$F$4:$F$365,'Venta Semana'!C4,Venta!$B$4:$B$365,'Venta Semana'!$I$12)</f>
        <v>0</v>
      </c>
      <c r="J4" s="62">
        <f>SUMIFS(Venta!$I$4:$I$365,Venta!$F$4:$F$365,'Venta Semana'!C4,Venta!$B$4:$B$365,'Venta Semana'!$J$12)</f>
        <v>0</v>
      </c>
      <c r="K4" s="62">
        <f>SUMIFS(Venta!$I$4:$I$365,Venta!$F$4:$F$365,'Venta Semana'!C4,Venta!$B$4:$B$365,'Venta Semana'!$K$12)</f>
        <v>0</v>
      </c>
      <c r="L4" s="62">
        <f>SUMIFS(Venta!$I$4:$I$365,Venta!$F$4:$F$365,'Venta Semana'!C4,Venta!$B$4:$B$365,'Venta Semana'!$L$12)</f>
        <v>0</v>
      </c>
      <c r="M4" s="62">
        <f>SUMIFS(Venta!$I$4:$I$365,Venta!$F$4:$F$365,'Venta Semana'!C4,Venta!$B$4:$B$365,'Venta Semana'!$M$12)</f>
        <v>0</v>
      </c>
      <c r="N4" s="62">
        <f>SUM(D4:M4)</f>
        <v>55</v>
      </c>
    </row>
    <row r="5" spans="2:14" ht="16.5" x14ac:dyDescent="0.3">
      <c r="B5" s="5">
        <v>3</v>
      </c>
      <c r="C5" s="7" t="str">
        <f>Product!C7</f>
        <v>Pica suave</v>
      </c>
      <c r="D5" s="62">
        <f>SUMIFS(Venta!$I$4:$I$365,Venta!$F$4:$F$365,'Venta Semana'!C5,Venta!$B$4:$B$365,'Venta Semana'!$D$12)/(130)</f>
        <v>15</v>
      </c>
      <c r="E5" s="62">
        <f>SUMIFS(Venta!$I$4:$I$365,Venta!$F$4:$F$365,'Venta Semana'!C5,Venta!$B$4:$B$365,'Venta Semana'!$E$12)/(130)</f>
        <v>16</v>
      </c>
      <c r="F5" s="62">
        <f>SUMIFS(Venta!$I$4:$I$365,Venta!$F$4:$F$365,'Venta Semana'!C5,Venta!$B$4:$B$365,'Venta Semana'!$F$12)/(130)</f>
        <v>6</v>
      </c>
      <c r="G5" s="62">
        <f>SUMIFS(Venta!$I$4:$I$365,Venta!$F$4:$F$365,'Venta Semana'!C5,Venta!$B$4:$B$365,'Venta Semana'!$G$12)/(130)</f>
        <v>3</v>
      </c>
      <c r="H5" s="62">
        <f>SUMIFS(Venta!$I$4:$I$365,Venta!$F$4:$F$365,'Venta Semana'!C5,Venta!$B$4:$B$365,'Venta Semana'!$H$12)/(130)</f>
        <v>0</v>
      </c>
      <c r="I5" s="62">
        <f>SUMIFS(Venta!$I$4:$I$365,Venta!$F$4:$F$365,'Venta Semana'!C5,Venta!$B$4:$B$365,'Venta Semana'!$I$12)</f>
        <v>0</v>
      </c>
      <c r="J5" s="62">
        <f>SUMIFS(Venta!$I$4:$I$365,Venta!$F$4:$F$365,'Venta Semana'!C5,Venta!$B$4:$B$365,'Venta Semana'!$J$12)</f>
        <v>0</v>
      </c>
      <c r="K5" s="62">
        <f>SUMIFS(Venta!$I$4:$I$365,Venta!$F$4:$F$365,'Venta Semana'!C5,Venta!$B$4:$B$365,'Venta Semana'!$K$12)</f>
        <v>0</v>
      </c>
      <c r="L5" s="62">
        <f>SUMIFS(Venta!$I$4:$I$365,Venta!$F$4:$F$365,'Venta Semana'!C5,Venta!$B$4:$B$365,'Venta Semana'!$L$12)</f>
        <v>0</v>
      </c>
      <c r="M5" s="62">
        <f>SUMIFS(Venta!$I$4:$I$365,Venta!$F$4:$F$365,'Venta Semana'!C5,Venta!$B$4:$B$365,'Venta Semana'!$M$12)</f>
        <v>0</v>
      </c>
      <c r="N5" s="62">
        <f>SUM(D5:M5)</f>
        <v>40</v>
      </c>
    </row>
    <row r="6" spans="2:14" ht="16.5" x14ac:dyDescent="0.3">
      <c r="B6" s="5">
        <v>4</v>
      </c>
      <c r="C6" s="121" t="str">
        <f>Product!C8</f>
        <v xml:space="preserve">Combo </v>
      </c>
      <c r="D6" s="62">
        <f>SUMIFS(Venta!$I$4:$I$365,Venta!$F$4:$F$365,'Venta Semana'!C6,Venta!$B$4:$B$365,'Venta Semana'!$D$12)/(130)</f>
        <v>0</v>
      </c>
      <c r="E6" s="62">
        <f>SUMIFS(Venta!$I$4:$I$365,Venta!$F$4:$F$365,'Venta Semana'!C6,Venta!$B$4:$B$365,'Venta Semana'!$E$12)/(130)</f>
        <v>0</v>
      </c>
      <c r="F6" s="161">
        <f>SUMIFS(Venta!$I$4:$I$365,Venta!$F$4:$F$365,'Venta Semana'!C6,Venta!$B$4:$B$365,'Venta Semana'!$F$12)/(180)</f>
        <v>6</v>
      </c>
      <c r="G6" s="62">
        <f>SUMIFS(Venta!$I$4:$I$365,Venta!$F$4:$F$365,'Venta Semana'!C6,Venta!$B$4:$B$365,'Venta Semana'!$G$12)/(180)</f>
        <v>8</v>
      </c>
      <c r="H6" s="62"/>
      <c r="I6" s="62"/>
      <c r="J6" s="62"/>
      <c r="K6" s="62"/>
      <c r="L6" s="62"/>
      <c r="M6" s="62"/>
      <c r="N6" s="62"/>
    </row>
    <row r="7" spans="2:14" ht="16.5" x14ac:dyDescent="0.3">
      <c r="B7" s="5">
        <v>5</v>
      </c>
      <c r="C7" s="121" t="str">
        <f>Product!C9</f>
        <v>pica extremo pequeño</v>
      </c>
      <c r="D7" s="62">
        <f>SUMIFS(Venta!$I$4:$I$365,Venta!$F$4:$F$365,'Venta Semana'!C7,Venta!$B$4:$B$365,'Venta Semana'!$D$12)/(130)</f>
        <v>0</v>
      </c>
      <c r="E7" s="159">
        <f>SUMIFS(Venta!$I$4:$I$365,Venta!$F$4:$F$365,'Venta Semana'!C7,Venta!$B$4:$B$365,'Venta Semana'!$E$12)/(130)</f>
        <v>0</v>
      </c>
      <c r="F7" s="127"/>
      <c r="G7" s="160">
        <f>SUMIFS(Venta!$I$4:$I$365,Venta!$F$4:$F$365,'Venta Semana'!C7,Venta!$B$4:$B$365,'Venta Semana'!$G$12)/(70)</f>
        <v>5</v>
      </c>
      <c r="H7" s="62"/>
      <c r="I7" s="62"/>
      <c r="J7" s="62"/>
      <c r="K7" s="62"/>
      <c r="L7" s="62"/>
      <c r="M7" s="62"/>
      <c r="N7" s="62"/>
    </row>
    <row r="8" spans="2:14" ht="17.25" thickBot="1" x14ac:dyDescent="0.35">
      <c r="B8" s="5">
        <v>6</v>
      </c>
      <c r="C8" s="121" t="str">
        <f>Product!C10</f>
        <v>pica rico pequeño</v>
      </c>
      <c r="D8" s="62">
        <f>SUMIFS(Venta!$I$4:$I$365,Venta!$F$4:$F$365,'Venta Semana'!C8,Venta!$B$4:$B$365,'Venta Semana'!$D$12)/(130)</f>
        <v>0</v>
      </c>
      <c r="E8" s="159">
        <f>SUMIFS(Venta!$I$4:$I$365,Venta!$F$4:$F$365,'Venta Semana'!C8,Venta!$B$4:$B$365,'Venta Semana'!$E$12)/(130)</f>
        <v>0</v>
      </c>
      <c r="F8" s="127"/>
      <c r="G8" s="160">
        <f>SUMIFS(Venta!$I$4:$I$365,Venta!$F$4:$F$365,'Venta Semana'!C8,Venta!$B$4:$B$365,'Venta Semana'!$G$12)/(70)</f>
        <v>10</v>
      </c>
      <c r="H8" s="62"/>
      <c r="I8" s="62"/>
      <c r="J8" s="62"/>
      <c r="K8" s="62"/>
      <c r="L8" s="62"/>
      <c r="M8" s="62"/>
      <c r="N8" s="62"/>
    </row>
    <row r="9" spans="2:14" ht="17.25" thickBot="1" x14ac:dyDescent="0.35">
      <c r="B9" s="15"/>
      <c r="C9" s="8" t="s">
        <v>111</v>
      </c>
      <c r="D9" s="63">
        <f>SUM(D3:D5)</f>
        <v>80</v>
      </c>
      <c r="E9" s="63">
        <f>SUM(E3:E5)</f>
        <v>42</v>
      </c>
      <c r="F9" s="62">
        <f>SUM(F3:F6)</f>
        <v>41</v>
      </c>
      <c r="G9" s="63">
        <f>SUM(G3:G8)</f>
        <v>40</v>
      </c>
      <c r="H9" s="63">
        <f t="shared" ref="H9:M9" si="0">SUM(H3:H5)</f>
        <v>0</v>
      </c>
      <c r="I9" s="63">
        <f t="shared" si="0"/>
        <v>0</v>
      </c>
      <c r="J9" s="63">
        <f t="shared" si="0"/>
        <v>0</v>
      </c>
      <c r="K9" s="63">
        <f t="shared" si="0"/>
        <v>0</v>
      </c>
      <c r="L9" s="63">
        <f t="shared" si="0"/>
        <v>0</v>
      </c>
      <c r="M9" s="63">
        <f t="shared" si="0"/>
        <v>0</v>
      </c>
      <c r="N9" s="63">
        <f>SUM(D9:M9)</f>
        <v>203</v>
      </c>
    </row>
    <row r="10" spans="2:14" ht="17.25" thickBot="1" x14ac:dyDescent="0.35">
      <c r="B10" s="38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90"/>
    </row>
    <row r="11" spans="2:14" ht="18.75" thickBot="1" x14ac:dyDescent="0.3">
      <c r="B11" s="173" t="s">
        <v>14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spans="2:14" ht="17.25" thickBot="1" x14ac:dyDescent="0.35">
      <c r="B12" s="8" t="s">
        <v>5</v>
      </c>
      <c r="C12" s="8" t="s">
        <v>15</v>
      </c>
      <c r="D12" s="8" t="s">
        <v>40</v>
      </c>
      <c r="E12" s="8" t="s">
        <v>41</v>
      </c>
      <c r="F12" s="8" t="s">
        <v>42</v>
      </c>
      <c r="G12" s="8" t="s">
        <v>43</v>
      </c>
      <c r="H12" s="8" t="s">
        <v>44</v>
      </c>
      <c r="I12" s="8" t="s">
        <v>45</v>
      </c>
      <c r="J12" s="8" t="s">
        <v>46</v>
      </c>
      <c r="K12" s="8" t="s">
        <v>47</v>
      </c>
      <c r="L12" s="8" t="s">
        <v>48</v>
      </c>
      <c r="M12" s="8" t="s">
        <v>49</v>
      </c>
      <c r="N12" s="88" t="s">
        <v>16</v>
      </c>
    </row>
    <row r="13" spans="2:14" ht="16.5" x14ac:dyDescent="0.3">
      <c r="B13" s="4">
        <v>1</v>
      </c>
      <c r="C13" s="7" t="str">
        <f>Product!C5</f>
        <v xml:space="preserve">Pica extremo </v>
      </c>
      <c r="D13" s="62">
        <f>SUMIFS(Venta!$I$4:$I$365,Venta!$F$4:$F$365,'Venta Semana'!C13,Venta!$B$4:$B$365,'Venta Semana'!$D$12)</f>
        <v>5590</v>
      </c>
      <c r="E13" s="62">
        <f>SUMIFS(Venta!$I$4:$I$365,Venta!$F$4:$F$365,'Venta Semana'!C13,Venta!$B$4:$B$365,'Venta Semana'!$E$12)</f>
        <v>1300</v>
      </c>
      <c r="F13" s="62">
        <f>SUMIFS(Venta!$I$4:$I$365,Venta!$F$4:$F$365,'Venta Semana'!C13,Venta!$B$4:$B$365,'Venta Semana'!$F$12)</f>
        <v>2080</v>
      </c>
      <c r="G13" s="62">
        <f>SUMIFS(Venta!$I$4:$I$365,Venta!$F$4:$F$365,'Venta Semana'!C13,Venta!$B$4:$B$365,'Venta Semana'!$G$12)</f>
        <v>1300</v>
      </c>
      <c r="H13" s="62">
        <f>SUMIFS(Venta!$I$4:$I$365,Venta!$F$4:$F$365,'Venta Semana'!C13,Venta!$B$4:$B$365,'Venta Semana'!$H$12)</f>
        <v>0</v>
      </c>
      <c r="I13" s="62">
        <f>SUMIFS(Venta!$I$4:$I$365,Venta!$F$4:$F$365,'Venta Semana'!C13,Venta!$B$4:$B$365,'Venta Semana'!$I$12)</f>
        <v>0</v>
      </c>
      <c r="J13" s="62">
        <f>SUMIFS(Venta!$I$4:$I$365,Venta!$F$4:$F$365,'Venta Semana'!C13,Venta!$B$4:$B$365,'Venta Semana'!$J$12)</f>
        <v>0</v>
      </c>
      <c r="K13" s="62">
        <f>SUMIFS(Venta!$I$4:$I$365,Venta!$F$4:$F$365,'Venta Semana'!C13,Venta!$B$4:$B$365,'Venta Semana'!$K$12)</f>
        <v>0</v>
      </c>
      <c r="L13" s="62">
        <f>SUMIFS(Venta!$I$4:$I$365,Venta!$F$4:$F$365,'Venta Semana'!C13,Venta!$B$4:$B$365,'Venta Semana'!$L$12)</f>
        <v>0</v>
      </c>
      <c r="M13" s="62">
        <f>SUMIFS(Venta!$I$4:$I$365,Venta!$F$4:$F$365,'Venta Semana'!C13,Venta!$B$4:$B$365,'Venta Semana'!$M$12)</f>
        <v>0</v>
      </c>
      <c r="N13" s="62">
        <f>SUM(D13:M13)</f>
        <v>10270</v>
      </c>
    </row>
    <row r="14" spans="2:14" ht="16.5" x14ac:dyDescent="0.3">
      <c r="B14" s="5">
        <v>2</v>
      </c>
      <c r="C14" s="7" t="str">
        <f>Product!C6</f>
        <v>Pica rico</v>
      </c>
      <c r="D14" s="62">
        <f>SUMIFS(Venta!$I$4:$I$365,Venta!$F$4:$F$365,'Venta Semana'!C14,Venta!$B$4:$B$365,'Venta Semana'!$D$12)</f>
        <v>2860</v>
      </c>
      <c r="E14" s="62">
        <f>SUMIFS(Venta!$I$4:$I$365,Venta!$F$4:$F$365,'Venta Semana'!C14,Venta!$B$4:$B$365,'Venta Semana'!$E$12)</f>
        <v>2080</v>
      </c>
      <c r="F14" s="62">
        <f>SUMIFS(Venta!$I$4:$I$365,Venta!$F$4:$F$365,'Venta Semana'!C14,Venta!$B$4:$B$365,'Venta Semana'!$F$12)</f>
        <v>1690</v>
      </c>
      <c r="G14" s="62">
        <f>SUMIFS(Venta!$I$4:$I$365,Venta!$F$4:$F$365,'Venta Semana'!C14,Venta!$B$4:$B$365,'Venta Semana'!$G$12)</f>
        <v>520</v>
      </c>
      <c r="H14" s="62">
        <f>SUMIFS(Venta!$I$4:$I$365,Venta!$F$4:$F$365,'Venta Semana'!C14,Venta!$B$4:$B$365,'Venta Semana'!$H$12)</f>
        <v>0</v>
      </c>
      <c r="I14" s="62">
        <f>SUMIFS(Venta!$I$4:$I$365,Venta!$F$4:$F$365,'Venta Semana'!C14,Venta!$B$4:$B$365,'Venta Semana'!$I$12)</f>
        <v>0</v>
      </c>
      <c r="J14" s="62">
        <f>SUMIFS(Venta!$I$4:$I$365,Venta!$F$4:$F$365,'Venta Semana'!C14,Venta!$B$4:$B$365,'Venta Semana'!$J$12)</f>
        <v>0</v>
      </c>
      <c r="K14" s="62">
        <f>SUMIFS(Venta!$I$4:$I$365,Venta!$F$4:$F$365,'Venta Semana'!C14,Venta!$B$4:$B$365,'Venta Semana'!$K$12)</f>
        <v>0</v>
      </c>
      <c r="L14" s="62">
        <f>SUMIFS(Venta!$I$4:$I$365,Venta!$F$4:$F$365,'Venta Semana'!C14,Venta!$B$4:$B$365,'Venta Semana'!$L$12)</f>
        <v>0</v>
      </c>
      <c r="M14" s="62">
        <f>SUMIFS(Venta!$I$4:$I$365,Venta!$F$4:$F$365,'Venta Semana'!C14,Venta!$B$4:$B$365,'Venta Semana'!$M$12)</f>
        <v>0</v>
      </c>
      <c r="N14" s="62">
        <f>SUM(D14:M14)</f>
        <v>7150</v>
      </c>
    </row>
    <row r="15" spans="2:14" ht="16.5" x14ac:dyDescent="0.3">
      <c r="B15" s="5">
        <v>3</v>
      </c>
      <c r="C15" s="121" t="str">
        <f>Product!C7</f>
        <v>Pica suave</v>
      </c>
      <c r="D15" s="62">
        <f>SUMIFS(Venta!$I$4:$I$365,Venta!$F$4:$F$365,'Venta Semana'!C15,Venta!$B$4:$B$365,'Venta Semana'!$D$12)</f>
        <v>1950</v>
      </c>
      <c r="E15" s="62">
        <f>SUMIFS(Venta!$I$4:$I$365,Venta!$F$4:$F$365,'Venta Semana'!C15,Venta!$B$4:$B$365,'Venta Semana'!$E$12)</f>
        <v>2080</v>
      </c>
      <c r="F15" s="62">
        <f>SUMIFS(Venta!$I$4:$I$365,Venta!$F$4:$F$365,'Venta Semana'!C15,Venta!$B$4:$B$365,'Venta Semana'!$F$12)</f>
        <v>780</v>
      </c>
      <c r="G15" s="62">
        <f>SUMIFS(Venta!$I$4:$I$365,Venta!$F$4:$F$365,'Venta Semana'!C15,Venta!$B$4:$B$365,'Venta Semana'!$G$12)</f>
        <v>390</v>
      </c>
      <c r="H15" s="62">
        <f>SUMIFS(Venta!$I$4:$I$365,Venta!$F$4:$F$365,'Venta Semana'!C15,Venta!$B$4:$B$365,'Venta Semana'!$H$12)</f>
        <v>0</v>
      </c>
      <c r="I15" s="62">
        <f>SUMIFS(Venta!$I$4:$I$365,Venta!$F$4:$F$365,'Venta Semana'!C15,Venta!$B$4:$B$365,'Venta Semana'!$I$12)</f>
        <v>0</v>
      </c>
      <c r="J15" s="62">
        <f>SUMIFS(Venta!$I$4:$I$365,Venta!$F$4:$F$365,'Venta Semana'!C15,Venta!$B$4:$B$365,'Venta Semana'!$J$12)</f>
        <v>0</v>
      </c>
      <c r="K15" s="62">
        <f>SUMIFS(Venta!$I$4:$I$365,Venta!$F$4:$F$365,'Venta Semana'!C15,Venta!$B$4:$B$365,'Venta Semana'!$K$12)</f>
        <v>0</v>
      </c>
      <c r="L15" s="62">
        <f>SUMIFS(Venta!$I$4:$I$365,Venta!$F$4:$F$365,'Venta Semana'!C15,Venta!$B$4:$B$365,'Venta Semana'!$L$12)</f>
        <v>0</v>
      </c>
      <c r="M15" s="62">
        <f>SUMIFS(Venta!$I$4:$I$365,Venta!$F$4:$F$365,'Venta Semana'!C15,Venta!$B$4:$B$365,'Venta Semana'!$M$12)</f>
        <v>0</v>
      </c>
      <c r="N15" s="62">
        <f>SUM(D15:M15)</f>
        <v>5200</v>
      </c>
    </row>
    <row r="16" spans="2:14" ht="16.5" x14ac:dyDescent="0.3">
      <c r="B16" s="162">
        <v>4</v>
      </c>
      <c r="C16" s="165" t="str">
        <f>Product!C8</f>
        <v xml:space="preserve">Combo </v>
      </c>
      <c r="D16" s="160">
        <f>SUMIFS(Venta!$I$4:$I$365,Venta!$F$4:$F$365,'Venta Semana'!C16,Venta!$B$4:$B$365,'Venta Semana'!$D$12)</f>
        <v>0</v>
      </c>
      <c r="E16" s="62">
        <f>SUMIFS(Venta!$I$4:$I$365,Venta!$F$4:$F$365,'Venta Semana'!C16,Venta!$B$4:$B$365,'Venta Semana'!$E$12)</f>
        <v>0</v>
      </c>
      <c r="F16" s="62">
        <f>SUMIFS(Venta!$I$4:$I$365,Venta!$F$4:$F$365,'Venta Semana'!C16,Venta!$B$4:$B$365,'Venta Semana'!$F$12)</f>
        <v>1080</v>
      </c>
      <c r="G16" s="62">
        <f>SUMIFS(Venta!$I$4:$I$365,Venta!$F$4:$F$365,'Venta Semana'!C16,Venta!$B$4:$B$365,'Venta Semana'!$G$12)</f>
        <v>1440</v>
      </c>
      <c r="H16" s="62">
        <f>SUMIFS(Venta!$I$4:$I$365,Venta!$F$4:$F$365,'Venta Semana'!C16,Venta!$B$4:$B$365,'Venta Semana'!$H$12)</f>
        <v>0</v>
      </c>
      <c r="I16" s="62">
        <f>SUMIFS(Venta!$I$4:$I$365,Venta!$F$4:$F$365,'Venta Semana'!C16,Venta!$B$4:$B$365,'Venta Semana'!$I$12)</f>
        <v>0</v>
      </c>
      <c r="J16" s="62">
        <f>SUMIFS(Venta!$I$4:$I$365,Venta!$F$4:$F$365,'Venta Semana'!C16,Venta!$B$4:$B$365,'Venta Semana'!$J$12)</f>
        <v>0</v>
      </c>
      <c r="K16" s="62">
        <f>SUMIFS(Venta!$I$4:$I$365,Venta!$F$4:$F$365,'Venta Semana'!C16,Venta!$B$4:$B$365,'Venta Semana'!$K$12)</f>
        <v>0</v>
      </c>
      <c r="L16" s="62">
        <f>SUMIFS(Venta!$I$4:$I$365,Venta!$F$4:$F$365,'Venta Semana'!C16,Venta!$B$4:$B$365,'Venta Semana'!$L$12)</f>
        <v>0</v>
      </c>
      <c r="M16" s="62">
        <f>SUMIFS(Venta!$I$4:$I$365,Venta!$F$4:$F$365,'Venta Semana'!C16,Venta!$B$4:$B$365,'Venta Semana'!$M$12)</f>
        <v>0</v>
      </c>
      <c r="N16" s="62"/>
    </row>
    <row r="17" spans="2:14" ht="16.5" x14ac:dyDescent="0.3">
      <c r="B17" s="163">
        <v>5</v>
      </c>
      <c r="C17" s="165" t="str">
        <f>Product!C9</f>
        <v>pica extremo pequeño</v>
      </c>
      <c r="D17" s="160">
        <f>SUMIFS(Venta!$I$4:$I$365,Venta!$F$4:$F$365,'Venta Semana'!C17,Venta!$B$4:$B$365,'Venta Semana'!$D$12)</f>
        <v>0</v>
      </c>
      <c r="E17" s="62">
        <f>SUMIFS(Venta!$I$4:$I$365,Venta!$F$4:$F$365,'Venta Semana'!C17,Venta!$B$4:$B$365,'Venta Semana'!$E$12)</f>
        <v>0</v>
      </c>
      <c r="F17" s="62">
        <f>SUMIFS(Venta!$I$4:$I$365,Venta!$F$4:$F$365,'Venta Semana'!C17,Venta!$B$4:$B$365,'Venta Semana'!$F$12)</f>
        <v>0</v>
      </c>
      <c r="G17" s="62">
        <f>SUMIFS(Venta!$I$4:$I$365,Venta!$F$4:$F$365,'Venta Semana'!C17,Venta!$B$4:$B$365,'Venta Semana'!$G$12)</f>
        <v>350</v>
      </c>
      <c r="H17" s="62">
        <f>SUMIFS(Venta!$I$4:$I$365,Venta!$F$4:$F$365,'Venta Semana'!C17,Venta!$B$4:$B$365,'Venta Semana'!$H$12)</f>
        <v>0</v>
      </c>
      <c r="I17" s="62">
        <f>SUMIFS(Venta!$I$4:$I$365,Venta!$F$4:$F$365,'Venta Semana'!C17,Venta!$B$4:$B$365,'Venta Semana'!$I$12)</f>
        <v>0</v>
      </c>
      <c r="J17" s="62">
        <f>SUMIFS(Venta!$I$4:$I$365,Venta!$F$4:$F$365,'Venta Semana'!C17,Venta!$B$4:$B$365,'Venta Semana'!$J$12)</f>
        <v>0</v>
      </c>
      <c r="K17" s="62">
        <f>SUMIFS(Venta!$I$4:$I$365,Venta!$F$4:$F$365,'Venta Semana'!C17,Venta!$B$4:$B$365,'Venta Semana'!$K$12)</f>
        <v>0</v>
      </c>
      <c r="L17" s="62">
        <f>SUMIFS(Venta!$I$4:$I$365,Venta!$F$4:$F$365,'Venta Semana'!C17,Venta!$B$4:$B$365,'Venta Semana'!$L$12)</f>
        <v>0</v>
      </c>
      <c r="M17" s="62">
        <f>SUMIFS(Venta!$I$4:$I$365,Venta!$F$4:$F$365,'Venta Semana'!C17,Venta!$B$4:$B$365,'Venta Semana'!$M$12)</f>
        <v>0</v>
      </c>
      <c r="N17" s="62"/>
    </row>
    <row r="18" spans="2:14" ht="16.5" x14ac:dyDescent="0.3">
      <c r="B18" s="163">
        <v>6</v>
      </c>
      <c r="C18" s="165" t="str">
        <f>Product!C10</f>
        <v>pica rico pequeño</v>
      </c>
      <c r="D18" s="160">
        <f>SUMIFS(Venta!$I$4:$I$365,Venta!$F$4:$F$365,'Venta Semana'!C18,Venta!$B$4:$B$365,'Venta Semana'!$D$12)</f>
        <v>0</v>
      </c>
      <c r="E18" s="62">
        <f>SUMIFS(Venta!$I$4:$I$365,Venta!$F$4:$F$365,'Venta Semana'!C18,Venta!$B$4:$B$365,'Venta Semana'!$E$12)</f>
        <v>0</v>
      </c>
      <c r="F18" s="62">
        <f>SUMIFS(Venta!$I$4:$I$365,Venta!$F$4:$F$365,'Venta Semana'!C18,Venta!$B$4:$B$365,'Venta Semana'!$F$12)</f>
        <v>0</v>
      </c>
      <c r="G18" s="62">
        <f>SUMIFS(Venta!$I$4:$I$365,Venta!$F$4:$F$365,'Venta Semana'!C18,Venta!$B$4:$B$365,'Venta Semana'!$G$12)</f>
        <v>700</v>
      </c>
      <c r="H18" s="62">
        <f>SUMIFS(Venta!$I$4:$I$365,Venta!$F$4:$F$365,'Venta Semana'!C18,Venta!$B$4:$B$365,'Venta Semana'!$H$12)</f>
        <v>0</v>
      </c>
      <c r="I18" s="62">
        <f>SUMIFS(Venta!$I$4:$I$365,Venta!$F$4:$F$365,'Venta Semana'!C18,Venta!$B$4:$B$365,'Venta Semana'!$I$12)</f>
        <v>0</v>
      </c>
      <c r="J18" s="62">
        <f>SUMIFS(Venta!$I$4:$I$365,Venta!$F$4:$F$365,'Venta Semana'!C18,Venta!$B$4:$B$365,'Venta Semana'!$J$12)</f>
        <v>0</v>
      </c>
      <c r="K18" s="62">
        <f>SUMIFS(Venta!$I$4:$I$365,Venta!$F$4:$F$365,'Venta Semana'!C18,Venta!$B$4:$B$365,'Venta Semana'!$K$12)</f>
        <v>0</v>
      </c>
      <c r="L18" s="62">
        <f>SUMIFS(Venta!$I$4:$I$365,Venta!$F$4:$F$365,'Venta Semana'!C18,Venta!$B$4:$B$365,'Venta Semana'!$L$12)</f>
        <v>0</v>
      </c>
      <c r="M18" s="62">
        <f>SUMIFS(Venta!$I$4:$I$365,Venta!$F$4:$F$365,'Venta Semana'!C18,Venta!$B$4:$B$365,'Venta Semana'!$M$12)</f>
        <v>0</v>
      </c>
      <c r="N18" s="62"/>
    </row>
    <row r="19" spans="2:14" ht="17.25" thickBot="1" x14ac:dyDescent="0.35">
      <c r="B19" s="38"/>
      <c r="C19" s="164" t="s">
        <v>109</v>
      </c>
      <c r="D19" s="63">
        <f>SUM(D13:D15)</f>
        <v>10400</v>
      </c>
      <c r="E19" s="63">
        <f>SUM(E13:E15)</f>
        <v>5460</v>
      </c>
      <c r="F19" s="63">
        <f>SUM(F13:F16)</f>
        <v>5630</v>
      </c>
      <c r="G19" s="63">
        <f>SUM(G13:G18)</f>
        <v>4700</v>
      </c>
      <c r="H19" s="63">
        <f t="shared" ref="H19:M19" si="1">SUM(H13:H15)</f>
        <v>0</v>
      </c>
      <c r="I19" s="63">
        <f t="shared" si="1"/>
        <v>0</v>
      </c>
      <c r="J19" s="63">
        <f t="shared" si="1"/>
        <v>0</v>
      </c>
      <c r="K19" s="63">
        <f t="shared" si="1"/>
        <v>0</v>
      </c>
      <c r="L19" s="63">
        <f t="shared" si="1"/>
        <v>0</v>
      </c>
      <c r="M19" s="63">
        <f t="shared" si="1"/>
        <v>0</v>
      </c>
      <c r="N19" s="63">
        <f>SUM(D19:M19)</f>
        <v>26190</v>
      </c>
    </row>
    <row r="20" spans="2:14" x14ac:dyDescent="0.25">
      <c r="I20" s="15"/>
      <c r="J20" s="15"/>
      <c r="K20" s="15"/>
      <c r="L20" s="15"/>
      <c r="M20" s="15"/>
      <c r="N20" s="89"/>
    </row>
    <row r="21" spans="2:14" x14ac:dyDescent="0.25">
      <c r="I21" s="15"/>
      <c r="J21" s="15"/>
      <c r="K21" s="15"/>
      <c r="L21" s="15"/>
      <c r="M21" s="15"/>
      <c r="N21" s="89"/>
    </row>
    <row r="22" spans="2:14" ht="15.75" customHeight="1" x14ac:dyDescent="0.25">
      <c r="I22" s="15"/>
      <c r="J22" s="15"/>
      <c r="K22" s="15"/>
      <c r="L22" s="15"/>
      <c r="M22" s="15"/>
      <c r="N22" s="89"/>
    </row>
    <row r="23" spans="2:14" ht="15.75" customHeight="1" x14ac:dyDescent="0.25">
      <c r="I23" s="15"/>
      <c r="J23" s="15"/>
      <c r="K23" s="15"/>
      <c r="L23" s="15"/>
      <c r="M23" s="15"/>
      <c r="N23" s="89"/>
    </row>
    <row r="24" spans="2:14" ht="15.75" customHeight="1" x14ac:dyDescent="0.25">
      <c r="I24" s="15"/>
      <c r="J24" s="15"/>
      <c r="K24" s="15"/>
      <c r="L24" s="15"/>
      <c r="M24" s="15"/>
      <c r="N24" s="89"/>
    </row>
    <row r="25" spans="2:14" s="15" customFormat="1" ht="15.75" customHeight="1" x14ac:dyDescent="0.25">
      <c r="N25" s="89"/>
    </row>
    <row r="26" spans="2:14" s="15" customFormat="1" ht="15.75" customHeight="1" x14ac:dyDescent="0.25">
      <c r="N26" s="89"/>
    </row>
    <row r="27" spans="2:14" s="15" customFormat="1" ht="15.75" customHeight="1" x14ac:dyDescent="0.25">
      <c r="N27" s="89"/>
    </row>
    <row r="28" spans="2:14" s="15" customFormat="1" ht="15.75" customHeight="1" x14ac:dyDescent="0.25">
      <c r="N28" s="89"/>
    </row>
    <row r="29" spans="2:14" s="15" customFormat="1" ht="15.75" customHeight="1" x14ac:dyDescent="0.25">
      <c r="N29" s="89"/>
    </row>
    <row r="30" spans="2:14" s="15" customFormat="1" ht="15.75" customHeight="1" x14ac:dyDescent="0.25">
      <c r="N30" s="89"/>
    </row>
    <row r="31" spans="2:14" s="15" customFormat="1" ht="15.75" customHeight="1" x14ac:dyDescent="0.25">
      <c r="N31" s="89"/>
    </row>
    <row r="32" spans="2:14" s="15" customFormat="1" ht="15.75" customHeight="1" x14ac:dyDescent="0.25">
      <c r="N32" s="89"/>
    </row>
    <row r="33" spans="14:14" s="15" customFormat="1" ht="15.75" customHeight="1" x14ac:dyDescent="0.25">
      <c r="N33" s="89"/>
    </row>
    <row r="34" spans="14:14" s="15" customFormat="1" ht="15.75" customHeight="1" x14ac:dyDescent="0.25">
      <c r="N34" s="89"/>
    </row>
    <row r="35" spans="14:14" s="15" customFormat="1" ht="15.75" customHeight="1" x14ac:dyDescent="0.25">
      <c r="N35" s="89"/>
    </row>
    <row r="36" spans="14:14" s="15" customFormat="1" ht="15.75" customHeight="1" x14ac:dyDescent="0.25">
      <c r="N36" s="89"/>
    </row>
    <row r="37" spans="14:14" s="15" customFormat="1" ht="15.75" customHeight="1" x14ac:dyDescent="0.25">
      <c r="N37" s="89"/>
    </row>
    <row r="38" spans="14:14" s="15" customFormat="1" ht="15.75" customHeight="1" x14ac:dyDescent="0.25">
      <c r="N38" s="89"/>
    </row>
    <row r="39" spans="14:14" s="15" customFormat="1" ht="15.75" customHeight="1" x14ac:dyDescent="0.25">
      <c r="N39" s="89"/>
    </row>
    <row r="40" spans="14:14" s="15" customFormat="1" ht="15.75" customHeight="1" x14ac:dyDescent="0.25">
      <c r="N40" s="89"/>
    </row>
    <row r="41" spans="14:14" s="15" customFormat="1" ht="15.75" customHeight="1" x14ac:dyDescent="0.25">
      <c r="N41" s="89"/>
    </row>
    <row r="42" spans="14:14" s="15" customFormat="1" ht="15.75" customHeight="1" x14ac:dyDescent="0.25">
      <c r="N42" s="89"/>
    </row>
    <row r="43" spans="14:14" s="15" customFormat="1" ht="15.75" customHeight="1" x14ac:dyDescent="0.25">
      <c r="N43" s="89"/>
    </row>
    <row r="44" spans="14:14" s="15" customFormat="1" ht="15.75" customHeight="1" x14ac:dyDescent="0.25">
      <c r="N44" s="89"/>
    </row>
    <row r="45" spans="14:14" s="15" customFormat="1" ht="15.75" customHeight="1" x14ac:dyDescent="0.25">
      <c r="N45" s="89"/>
    </row>
    <row r="46" spans="14:14" s="15" customFormat="1" ht="15.75" customHeight="1" x14ac:dyDescent="0.25">
      <c r="N46" s="89"/>
    </row>
    <row r="47" spans="14:14" s="15" customFormat="1" ht="15.75" customHeight="1" x14ac:dyDescent="0.25">
      <c r="N47" s="89"/>
    </row>
    <row r="48" spans="14:14" s="15" customFormat="1" ht="15.75" customHeight="1" x14ac:dyDescent="0.25">
      <c r="N48" s="89"/>
    </row>
    <row r="49" spans="14:14" s="15" customFormat="1" ht="15.75" customHeight="1" x14ac:dyDescent="0.25">
      <c r="N49" s="89"/>
    </row>
    <row r="50" spans="14:14" s="15" customFormat="1" ht="15.75" customHeight="1" x14ac:dyDescent="0.25">
      <c r="N50" s="89"/>
    </row>
    <row r="51" spans="14:14" s="15" customFormat="1" ht="15.75" customHeight="1" x14ac:dyDescent="0.25">
      <c r="N51" s="89"/>
    </row>
    <row r="52" spans="14:14" s="15" customFormat="1" ht="15.75" customHeight="1" x14ac:dyDescent="0.25">
      <c r="N52" s="89"/>
    </row>
    <row r="53" spans="14:14" s="15" customFormat="1" ht="15.75" customHeight="1" x14ac:dyDescent="0.25">
      <c r="N53" s="89"/>
    </row>
    <row r="54" spans="14:14" s="15" customFormat="1" ht="15.75" customHeight="1" x14ac:dyDescent="0.25">
      <c r="N54" s="89"/>
    </row>
    <row r="55" spans="14:14" s="15" customFormat="1" ht="15.75" customHeight="1" x14ac:dyDescent="0.25">
      <c r="N55" s="89"/>
    </row>
    <row r="56" spans="14:14" s="15" customFormat="1" ht="15.75" customHeight="1" x14ac:dyDescent="0.25">
      <c r="N56" s="89"/>
    </row>
    <row r="57" spans="14:14" s="15" customFormat="1" ht="15.75" customHeight="1" x14ac:dyDescent="0.25">
      <c r="N57" s="89"/>
    </row>
    <row r="58" spans="14:14" s="15" customFormat="1" ht="15.75" customHeight="1" x14ac:dyDescent="0.25">
      <c r="N58" s="89"/>
    </row>
    <row r="59" spans="14:14" s="15" customFormat="1" ht="15.75" customHeight="1" x14ac:dyDescent="0.25">
      <c r="N59" s="89"/>
    </row>
    <row r="60" spans="14:14" s="15" customFormat="1" ht="15.75" customHeight="1" x14ac:dyDescent="0.25">
      <c r="N60" s="89"/>
    </row>
    <row r="61" spans="14:14" s="15" customFormat="1" ht="15.75" customHeight="1" x14ac:dyDescent="0.25">
      <c r="N61" s="89"/>
    </row>
    <row r="62" spans="14:14" s="15" customFormat="1" ht="15.75" customHeight="1" x14ac:dyDescent="0.25">
      <c r="N62" s="89"/>
    </row>
    <row r="63" spans="14:14" s="15" customFormat="1" ht="15.75" customHeight="1" x14ac:dyDescent="0.25">
      <c r="N63" s="89"/>
    </row>
    <row r="64" spans="14:14" s="15" customFormat="1" ht="15.75" customHeight="1" x14ac:dyDescent="0.25">
      <c r="N64" s="89"/>
    </row>
    <row r="65" spans="14:14" s="15" customFormat="1" ht="15.75" customHeight="1" x14ac:dyDescent="0.25">
      <c r="N65" s="89"/>
    </row>
    <row r="66" spans="14:14" s="15" customFormat="1" ht="15.75" customHeight="1" x14ac:dyDescent="0.25">
      <c r="N66" s="89"/>
    </row>
    <row r="67" spans="14:14" s="15" customFormat="1" ht="15.75" customHeight="1" x14ac:dyDescent="0.25">
      <c r="N67" s="89"/>
    </row>
    <row r="68" spans="14:14" s="15" customFormat="1" ht="15.75" customHeight="1" x14ac:dyDescent="0.25">
      <c r="N68" s="89"/>
    </row>
    <row r="69" spans="14:14" s="15" customFormat="1" ht="15.75" customHeight="1" x14ac:dyDescent="0.25">
      <c r="N69" s="89"/>
    </row>
    <row r="70" spans="14:14" s="15" customFormat="1" ht="15.75" customHeight="1" x14ac:dyDescent="0.25">
      <c r="N70" s="89"/>
    </row>
    <row r="71" spans="14:14" s="15" customFormat="1" ht="15.75" customHeight="1" x14ac:dyDescent="0.25">
      <c r="N71" s="89"/>
    </row>
    <row r="72" spans="14:14" s="15" customFormat="1" ht="15.75" customHeight="1" x14ac:dyDescent="0.25">
      <c r="N72" s="89"/>
    </row>
    <row r="73" spans="14:14" s="15" customFormat="1" ht="15.75" customHeight="1" x14ac:dyDescent="0.25">
      <c r="N73" s="89"/>
    </row>
    <row r="74" spans="14:14" s="15" customFormat="1" ht="15.75" customHeight="1" x14ac:dyDescent="0.25">
      <c r="N74" s="89"/>
    </row>
    <row r="75" spans="14:14" s="15" customFormat="1" ht="15.75" customHeight="1" x14ac:dyDescent="0.25">
      <c r="N75" s="89"/>
    </row>
    <row r="76" spans="14:14" s="15" customFormat="1" ht="15.75" customHeight="1" x14ac:dyDescent="0.25">
      <c r="N76" s="89"/>
    </row>
    <row r="77" spans="14:14" s="15" customFormat="1" ht="15.75" customHeight="1" x14ac:dyDescent="0.25">
      <c r="N77" s="89"/>
    </row>
    <row r="78" spans="14:14" s="15" customFormat="1" ht="15.75" customHeight="1" x14ac:dyDescent="0.25">
      <c r="N78" s="89"/>
    </row>
    <row r="79" spans="14:14" s="15" customFormat="1" ht="15.75" customHeight="1" x14ac:dyDescent="0.25">
      <c r="N79" s="89"/>
    </row>
    <row r="80" spans="14:14" s="15" customFormat="1" ht="15.75" customHeight="1" x14ac:dyDescent="0.25">
      <c r="N80" s="89"/>
    </row>
    <row r="81" spans="14:14" s="15" customFormat="1" ht="15.75" customHeight="1" x14ac:dyDescent="0.25">
      <c r="N81" s="89"/>
    </row>
    <row r="82" spans="14:14" s="15" customFormat="1" ht="15.75" customHeight="1" x14ac:dyDescent="0.25">
      <c r="N82" s="89"/>
    </row>
    <row r="83" spans="14:14" s="15" customFormat="1" ht="15.75" customHeight="1" x14ac:dyDescent="0.25">
      <c r="N83" s="89"/>
    </row>
    <row r="84" spans="14:14" s="15" customFormat="1" ht="15.75" customHeight="1" x14ac:dyDescent="0.25">
      <c r="N84" s="89"/>
    </row>
    <row r="85" spans="14:14" s="15" customFormat="1" ht="15.75" customHeight="1" x14ac:dyDescent="0.25">
      <c r="N85" s="89"/>
    </row>
    <row r="86" spans="14:14" s="15" customFormat="1" ht="15.75" customHeight="1" x14ac:dyDescent="0.25">
      <c r="N86" s="89"/>
    </row>
    <row r="87" spans="14:14" s="15" customFormat="1" ht="15.75" customHeight="1" x14ac:dyDescent="0.25">
      <c r="N87" s="89"/>
    </row>
    <row r="88" spans="14:14" s="15" customFormat="1" ht="15.75" customHeight="1" x14ac:dyDescent="0.25">
      <c r="N88" s="89"/>
    </row>
    <row r="89" spans="14:14" s="15" customFormat="1" ht="15.75" customHeight="1" x14ac:dyDescent="0.25">
      <c r="N89" s="89"/>
    </row>
    <row r="90" spans="14:14" s="15" customFormat="1" ht="15.75" customHeight="1" x14ac:dyDescent="0.25">
      <c r="N90" s="89"/>
    </row>
    <row r="91" spans="14:14" s="15" customFormat="1" ht="15.75" customHeight="1" x14ac:dyDescent="0.25">
      <c r="N91" s="89"/>
    </row>
    <row r="92" spans="14:14" s="15" customFormat="1" ht="15.75" customHeight="1" x14ac:dyDescent="0.25">
      <c r="N92" s="89"/>
    </row>
    <row r="93" spans="14:14" s="15" customFormat="1" ht="15.75" customHeight="1" x14ac:dyDescent="0.25">
      <c r="N93" s="89"/>
    </row>
    <row r="94" spans="14:14" s="15" customFormat="1" ht="15.75" customHeight="1" x14ac:dyDescent="0.25">
      <c r="N94" s="89"/>
    </row>
    <row r="95" spans="14:14" s="15" customFormat="1" ht="15.75" customHeight="1" x14ac:dyDescent="0.25">
      <c r="N95" s="89"/>
    </row>
    <row r="96" spans="14:14" s="15" customFormat="1" ht="15.75" customHeight="1" x14ac:dyDescent="0.25">
      <c r="N96" s="89"/>
    </row>
    <row r="97" spans="2:14" s="15" customFormat="1" ht="15.75" customHeight="1" x14ac:dyDescent="0.25">
      <c r="N97" s="89"/>
    </row>
    <row r="98" spans="2:14" s="15" customFormat="1" ht="15.75" customHeight="1" x14ac:dyDescent="0.25">
      <c r="N98" s="89"/>
    </row>
    <row r="99" spans="2:14" s="15" customFormat="1" ht="15.75" customHeight="1" x14ac:dyDescent="0.25">
      <c r="N99" s="89"/>
    </row>
    <row r="100" spans="2:14" s="15" customFormat="1" ht="15.75" customHeight="1" x14ac:dyDescent="0.25">
      <c r="N100" s="89"/>
    </row>
    <row r="101" spans="2:14" s="15" customFormat="1" ht="15.75" customHeight="1" x14ac:dyDescent="0.25">
      <c r="B101" s="16"/>
      <c r="N101" s="89"/>
    </row>
    <row r="102" spans="2:14" s="15" customFormat="1" ht="15.75" customHeight="1" x14ac:dyDescent="0.25">
      <c r="B102" s="16"/>
      <c r="N102" s="89"/>
    </row>
    <row r="103" spans="2:14" s="15" customFormat="1" ht="15.75" customHeight="1" x14ac:dyDescent="0.25">
      <c r="B103" s="16"/>
      <c r="N103" s="89"/>
    </row>
    <row r="104" spans="2:14" s="15" customFormat="1" ht="15.75" customHeight="1" x14ac:dyDescent="0.25">
      <c r="B104" s="16"/>
      <c r="N104" s="89"/>
    </row>
    <row r="105" spans="2:14" s="15" customFormat="1" ht="15.75" customHeight="1" x14ac:dyDescent="0.25">
      <c r="B105" s="16"/>
      <c r="N105" s="89"/>
    </row>
    <row r="106" spans="2:14" s="15" customFormat="1" ht="15.75" customHeight="1" x14ac:dyDescent="0.25">
      <c r="B106" s="16"/>
      <c r="N106" s="89"/>
    </row>
    <row r="107" spans="2:14" s="15" customFormat="1" ht="15.75" customHeight="1" x14ac:dyDescent="0.25">
      <c r="B107" s="16"/>
      <c r="N107" s="89"/>
    </row>
    <row r="108" spans="2:14" s="15" customFormat="1" ht="15.75" customHeight="1" x14ac:dyDescent="0.25">
      <c r="B108" s="16"/>
      <c r="N108" s="89"/>
    </row>
    <row r="109" spans="2:14" s="15" customFormat="1" ht="15.75" customHeight="1" x14ac:dyDescent="0.25">
      <c r="B109" s="16"/>
      <c r="N109" s="89"/>
    </row>
    <row r="110" spans="2:14" s="15" customFormat="1" ht="15.75" customHeight="1" x14ac:dyDescent="0.25">
      <c r="B110" s="16"/>
      <c r="N110" s="89"/>
    </row>
    <row r="111" spans="2:14" s="15" customFormat="1" ht="15.75" customHeight="1" x14ac:dyDescent="0.25">
      <c r="B111" s="16"/>
      <c r="N111" s="89"/>
    </row>
    <row r="112" spans="2:14" s="15" customFormat="1" ht="15.75" customHeight="1" x14ac:dyDescent="0.25">
      <c r="B112" s="16"/>
      <c r="N112" s="89"/>
    </row>
    <row r="113" spans="2:14" s="15" customFormat="1" ht="15.75" customHeight="1" x14ac:dyDescent="0.25">
      <c r="B113" s="16"/>
      <c r="N113" s="89"/>
    </row>
    <row r="114" spans="2:14" s="15" customFormat="1" ht="15.75" customHeight="1" x14ac:dyDescent="0.25">
      <c r="B114" s="16"/>
      <c r="N114" s="89"/>
    </row>
    <row r="115" spans="2:14" s="15" customFormat="1" ht="15.75" customHeight="1" x14ac:dyDescent="0.25">
      <c r="B115" s="16"/>
      <c r="N115" s="89"/>
    </row>
    <row r="116" spans="2:14" s="15" customFormat="1" ht="15.75" customHeight="1" x14ac:dyDescent="0.25">
      <c r="B116" s="16"/>
      <c r="N116" s="89"/>
    </row>
    <row r="117" spans="2:14" s="15" customFormat="1" ht="15.75" customHeight="1" x14ac:dyDescent="0.25">
      <c r="B117" s="16"/>
      <c r="N117" s="89"/>
    </row>
    <row r="118" spans="2:14" s="15" customFormat="1" ht="15.75" customHeight="1" x14ac:dyDescent="0.25">
      <c r="B118" s="16"/>
      <c r="N118" s="89"/>
    </row>
    <row r="119" spans="2:14" s="15" customFormat="1" ht="15.75" customHeight="1" x14ac:dyDescent="0.25">
      <c r="B119" s="16"/>
      <c r="N119" s="89"/>
    </row>
    <row r="120" spans="2:14" s="15" customFormat="1" ht="15.75" customHeight="1" x14ac:dyDescent="0.25">
      <c r="B120" s="16"/>
      <c r="N120" s="89"/>
    </row>
    <row r="121" spans="2:14" s="15" customFormat="1" ht="15.75" customHeight="1" x14ac:dyDescent="0.25">
      <c r="B121" s="16"/>
      <c r="N121" s="89"/>
    </row>
    <row r="122" spans="2:14" s="15" customFormat="1" ht="15.75" customHeight="1" x14ac:dyDescent="0.25">
      <c r="B122" s="16"/>
      <c r="N122" s="89"/>
    </row>
    <row r="123" spans="2:14" s="15" customFormat="1" ht="15.75" customHeight="1" x14ac:dyDescent="0.25">
      <c r="B123" s="16"/>
      <c r="N123" s="89"/>
    </row>
    <row r="124" spans="2:14" s="15" customFormat="1" ht="15.75" customHeight="1" x14ac:dyDescent="0.25">
      <c r="B124" s="16"/>
      <c r="N124" s="89"/>
    </row>
    <row r="125" spans="2:14" s="15" customFormat="1" ht="15.75" customHeight="1" x14ac:dyDescent="0.25">
      <c r="B125" s="16"/>
      <c r="N125" s="89"/>
    </row>
    <row r="126" spans="2:14" s="15" customFormat="1" ht="15.75" customHeight="1" x14ac:dyDescent="0.25">
      <c r="B126" s="16"/>
      <c r="N126" s="89"/>
    </row>
    <row r="127" spans="2:14" s="15" customFormat="1" ht="15.75" customHeight="1" x14ac:dyDescent="0.25">
      <c r="B127" s="16"/>
      <c r="N127" s="89"/>
    </row>
    <row r="128" spans="2:14" s="15" customFormat="1" ht="15.75" customHeight="1" x14ac:dyDescent="0.25">
      <c r="B128" s="16"/>
      <c r="N128" s="89"/>
    </row>
    <row r="129" spans="2:14" s="15" customFormat="1" ht="15.75" customHeight="1" x14ac:dyDescent="0.25">
      <c r="B129" s="16"/>
      <c r="N129" s="89"/>
    </row>
    <row r="130" spans="2:14" s="15" customFormat="1" ht="15.75" customHeight="1" x14ac:dyDescent="0.25">
      <c r="B130" s="16"/>
      <c r="N130" s="89"/>
    </row>
    <row r="131" spans="2:14" s="15" customFormat="1" ht="15.75" customHeight="1" x14ac:dyDescent="0.25">
      <c r="B131" s="16"/>
      <c r="N131" s="89"/>
    </row>
    <row r="132" spans="2:14" s="15" customFormat="1" ht="15.75" customHeight="1" x14ac:dyDescent="0.25">
      <c r="B132" s="16"/>
      <c r="N132" s="89"/>
    </row>
    <row r="133" spans="2:14" s="15" customFormat="1" ht="15.75" customHeight="1" x14ac:dyDescent="0.25">
      <c r="B133" s="16"/>
      <c r="N133" s="89"/>
    </row>
    <row r="134" spans="2:14" s="15" customFormat="1" ht="15.75" customHeight="1" x14ac:dyDescent="0.25">
      <c r="B134" s="16"/>
      <c r="N134" s="89"/>
    </row>
    <row r="135" spans="2:14" s="15" customFormat="1" ht="15.75" customHeight="1" x14ac:dyDescent="0.25">
      <c r="B135" s="16"/>
      <c r="N135" s="89"/>
    </row>
    <row r="136" spans="2:14" s="15" customFormat="1" ht="15.75" customHeight="1" x14ac:dyDescent="0.25">
      <c r="B136" s="16"/>
      <c r="N136" s="89"/>
    </row>
    <row r="137" spans="2:14" s="15" customFormat="1" ht="15.75" customHeight="1" x14ac:dyDescent="0.25">
      <c r="B137" s="16"/>
      <c r="N137" s="89"/>
    </row>
    <row r="138" spans="2:14" s="15" customFormat="1" ht="15.75" customHeight="1" x14ac:dyDescent="0.25">
      <c r="B138" s="16"/>
      <c r="N138" s="89"/>
    </row>
    <row r="139" spans="2:14" s="15" customFormat="1" ht="15.75" customHeight="1" x14ac:dyDescent="0.25">
      <c r="B139" s="16"/>
      <c r="N139" s="89"/>
    </row>
    <row r="140" spans="2:14" s="15" customFormat="1" ht="15.75" customHeight="1" x14ac:dyDescent="0.25">
      <c r="B140" s="16"/>
      <c r="N140" s="89"/>
    </row>
    <row r="141" spans="2:14" s="15" customFormat="1" ht="15.75" customHeight="1" x14ac:dyDescent="0.25">
      <c r="B141" s="16"/>
      <c r="N141" s="89"/>
    </row>
    <row r="142" spans="2:14" s="15" customFormat="1" ht="15.75" customHeight="1" x14ac:dyDescent="0.25">
      <c r="B142" s="16"/>
      <c r="N142" s="89"/>
    </row>
    <row r="143" spans="2:14" s="15" customFormat="1" ht="15.75" customHeight="1" x14ac:dyDescent="0.25">
      <c r="B143" s="16"/>
      <c r="N143" s="89"/>
    </row>
    <row r="144" spans="2:14" s="15" customFormat="1" ht="15.75" customHeight="1" x14ac:dyDescent="0.25">
      <c r="B144" s="16"/>
      <c r="N144" s="89"/>
    </row>
    <row r="145" spans="2:14" s="15" customFormat="1" ht="15.75" customHeight="1" x14ac:dyDescent="0.25">
      <c r="B145" s="16"/>
      <c r="N145" s="89"/>
    </row>
    <row r="146" spans="2:14" s="15" customFormat="1" ht="15.75" customHeight="1" x14ac:dyDescent="0.25">
      <c r="B146" s="16"/>
      <c r="N146" s="89"/>
    </row>
    <row r="147" spans="2:14" s="15" customFormat="1" ht="15.75" customHeight="1" x14ac:dyDescent="0.25">
      <c r="B147" s="16"/>
      <c r="N147" s="89"/>
    </row>
    <row r="148" spans="2:14" s="15" customFormat="1" ht="15.75" customHeight="1" x14ac:dyDescent="0.25">
      <c r="B148" s="16"/>
      <c r="N148" s="89"/>
    </row>
    <row r="149" spans="2:14" s="15" customFormat="1" ht="15.75" customHeight="1" x14ac:dyDescent="0.25">
      <c r="B149" s="16"/>
      <c r="N149" s="89"/>
    </row>
    <row r="150" spans="2:14" s="15" customFormat="1" ht="15.75" customHeight="1" x14ac:dyDescent="0.25">
      <c r="B150" s="16"/>
      <c r="N150" s="89"/>
    </row>
    <row r="151" spans="2:14" s="15" customFormat="1" ht="15.75" customHeight="1" x14ac:dyDescent="0.25">
      <c r="B151" s="16"/>
      <c r="N151" s="89"/>
    </row>
    <row r="152" spans="2:14" s="15" customFormat="1" ht="15.75" customHeight="1" x14ac:dyDescent="0.25">
      <c r="B152" s="16"/>
      <c r="N152" s="89"/>
    </row>
    <row r="153" spans="2:14" s="15" customFormat="1" ht="15.75" customHeight="1" x14ac:dyDescent="0.25">
      <c r="B153" s="16"/>
      <c r="N153" s="89"/>
    </row>
    <row r="154" spans="2:14" s="15" customFormat="1" ht="15.75" customHeight="1" x14ac:dyDescent="0.25">
      <c r="B154" s="16"/>
      <c r="N154" s="89"/>
    </row>
    <row r="155" spans="2:14" s="15" customFormat="1" ht="15.75" customHeight="1" x14ac:dyDescent="0.25">
      <c r="B155" s="16"/>
      <c r="N155" s="89"/>
    </row>
    <row r="156" spans="2:14" s="15" customFormat="1" ht="15.75" customHeight="1" x14ac:dyDescent="0.25">
      <c r="B156" s="16"/>
      <c r="N156" s="89"/>
    </row>
    <row r="157" spans="2:14" s="15" customFormat="1" ht="15.75" customHeight="1" x14ac:dyDescent="0.25">
      <c r="B157" s="16"/>
      <c r="N157" s="89"/>
    </row>
    <row r="158" spans="2:14" s="15" customFormat="1" ht="15.75" customHeight="1" x14ac:dyDescent="0.25">
      <c r="B158" s="16"/>
      <c r="N158" s="89"/>
    </row>
    <row r="159" spans="2:14" s="15" customFormat="1" ht="15.75" customHeight="1" x14ac:dyDescent="0.25">
      <c r="B159" s="16"/>
      <c r="N159" s="89"/>
    </row>
    <row r="160" spans="2:14" s="15" customFormat="1" ht="15.75" customHeight="1" x14ac:dyDescent="0.25">
      <c r="B160" s="16"/>
      <c r="N160" s="89"/>
    </row>
    <row r="161" spans="2:14" s="15" customFormat="1" ht="15.75" customHeight="1" x14ac:dyDescent="0.25">
      <c r="B161" s="16"/>
      <c r="N161" s="89"/>
    </row>
    <row r="162" spans="2:14" s="15" customFormat="1" ht="15.75" customHeight="1" x14ac:dyDescent="0.25">
      <c r="B162" s="16"/>
      <c r="N162" s="89"/>
    </row>
    <row r="163" spans="2:14" s="15" customFormat="1" ht="15.75" customHeight="1" x14ac:dyDescent="0.25">
      <c r="B163" s="16"/>
      <c r="N163" s="89"/>
    </row>
    <row r="164" spans="2:14" s="15" customFormat="1" ht="15.75" customHeight="1" x14ac:dyDescent="0.25">
      <c r="B164" s="16"/>
      <c r="N164" s="89"/>
    </row>
    <row r="165" spans="2:14" s="15" customFormat="1" ht="15.75" customHeight="1" x14ac:dyDescent="0.25">
      <c r="B165" s="16"/>
      <c r="N165" s="89"/>
    </row>
    <row r="166" spans="2:14" s="15" customFormat="1" ht="15.75" customHeight="1" x14ac:dyDescent="0.25">
      <c r="B166" s="16"/>
      <c r="N166" s="89"/>
    </row>
    <row r="167" spans="2:14" s="15" customFormat="1" ht="15.75" customHeight="1" x14ac:dyDescent="0.25">
      <c r="B167" s="16"/>
      <c r="N167" s="89"/>
    </row>
    <row r="168" spans="2:14" s="15" customFormat="1" ht="15.75" customHeight="1" x14ac:dyDescent="0.25">
      <c r="B168" s="16"/>
      <c r="N168" s="89"/>
    </row>
    <row r="169" spans="2:14" s="15" customFormat="1" ht="15.75" customHeight="1" x14ac:dyDescent="0.25">
      <c r="B169" s="16"/>
      <c r="N169" s="89"/>
    </row>
    <row r="170" spans="2:14" s="15" customFormat="1" ht="15.75" customHeight="1" x14ac:dyDescent="0.25">
      <c r="B170" s="16"/>
      <c r="N170" s="89"/>
    </row>
    <row r="171" spans="2:14" s="15" customFormat="1" ht="15.75" customHeight="1" x14ac:dyDescent="0.25">
      <c r="B171" s="16"/>
      <c r="N171" s="89"/>
    </row>
    <row r="172" spans="2:14" s="15" customFormat="1" ht="15.75" customHeight="1" x14ac:dyDescent="0.25">
      <c r="B172" s="16"/>
      <c r="N172" s="89"/>
    </row>
    <row r="173" spans="2:14" s="15" customFormat="1" ht="15.75" customHeight="1" x14ac:dyDescent="0.25">
      <c r="B173" s="16"/>
      <c r="N173" s="89"/>
    </row>
    <row r="174" spans="2:14" s="15" customFormat="1" ht="15.75" customHeight="1" x14ac:dyDescent="0.25">
      <c r="B174" s="16"/>
      <c r="N174" s="89"/>
    </row>
    <row r="175" spans="2:14" s="15" customFormat="1" ht="15.75" customHeight="1" x14ac:dyDescent="0.25">
      <c r="B175" s="16"/>
      <c r="N175" s="89"/>
    </row>
    <row r="176" spans="2:14" s="15" customFormat="1" ht="15.75" customHeight="1" x14ac:dyDescent="0.25">
      <c r="B176" s="16"/>
      <c r="N176" s="89"/>
    </row>
    <row r="177" spans="2:14" s="15" customFormat="1" ht="15.75" customHeight="1" x14ac:dyDescent="0.25">
      <c r="B177" s="16"/>
      <c r="N177" s="89"/>
    </row>
    <row r="178" spans="2:14" s="15" customFormat="1" ht="15.75" customHeight="1" x14ac:dyDescent="0.25">
      <c r="B178" s="16"/>
      <c r="N178" s="89"/>
    </row>
    <row r="179" spans="2:14" s="15" customFormat="1" ht="15.75" customHeight="1" x14ac:dyDescent="0.25">
      <c r="B179" s="16"/>
      <c r="N179" s="89"/>
    </row>
    <row r="180" spans="2:14" s="15" customFormat="1" ht="15.75" customHeight="1" x14ac:dyDescent="0.25">
      <c r="B180" s="16"/>
      <c r="N180" s="89"/>
    </row>
    <row r="181" spans="2:14" s="15" customFormat="1" ht="15.75" customHeight="1" x14ac:dyDescent="0.25">
      <c r="B181" s="16"/>
      <c r="N181" s="89"/>
    </row>
    <row r="182" spans="2:14" s="15" customFormat="1" ht="15.75" customHeight="1" x14ac:dyDescent="0.25">
      <c r="B182" s="16"/>
      <c r="N182" s="89"/>
    </row>
    <row r="183" spans="2:14" s="15" customFormat="1" ht="15.75" customHeight="1" x14ac:dyDescent="0.25">
      <c r="B183" s="16"/>
      <c r="N183" s="89"/>
    </row>
    <row r="184" spans="2:14" s="15" customFormat="1" ht="15.75" customHeight="1" x14ac:dyDescent="0.25">
      <c r="B184" s="16"/>
      <c r="N184" s="89"/>
    </row>
    <row r="185" spans="2:14" s="15" customFormat="1" ht="15.75" customHeight="1" x14ac:dyDescent="0.25">
      <c r="B185" s="16"/>
      <c r="N185" s="89"/>
    </row>
    <row r="186" spans="2:14" s="15" customFormat="1" ht="15.75" customHeight="1" x14ac:dyDescent="0.25">
      <c r="B186" s="16"/>
      <c r="N186" s="89"/>
    </row>
    <row r="187" spans="2:14" s="15" customFormat="1" ht="15.75" customHeight="1" x14ac:dyDescent="0.25">
      <c r="B187" s="16"/>
      <c r="N187" s="89"/>
    </row>
    <row r="188" spans="2:14" s="15" customFormat="1" ht="15.75" customHeight="1" x14ac:dyDescent="0.25">
      <c r="B188" s="16"/>
      <c r="N188" s="89"/>
    </row>
    <row r="189" spans="2:14" s="15" customFormat="1" ht="15.75" customHeight="1" x14ac:dyDescent="0.25">
      <c r="B189" s="16"/>
      <c r="N189" s="89"/>
    </row>
    <row r="190" spans="2:14" s="15" customFormat="1" ht="15.75" customHeight="1" x14ac:dyDescent="0.25">
      <c r="B190" s="16"/>
      <c r="N190" s="89"/>
    </row>
    <row r="191" spans="2:14" s="15" customFormat="1" ht="15.75" customHeight="1" x14ac:dyDescent="0.25">
      <c r="B191" s="16"/>
      <c r="N191" s="89"/>
    </row>
    <row r="192" spans="2:14" s="15" customFormat="1" ht="15.75" customHeight="1" x14ac:dyDescent="0.25">
      <c r="B192" s="16"/>
      <c r="N192" s="89"/>
    </row>
    <row r="193" spans="2:14" s="15" customFormat="1" ht="15.75" customHeight="1" x14ac:dyDescent="0.25">
      <c r="B193" s="16"/>
      <c r="N193" s="89"/>
    </row>
    <row r="194" spans="2:14" s="15" customFormat="1" ht="15.75" customHeight="1" x14ac:dyDescent="0.25">
      <c r="B194" s="16"/>
      <c r="N194" s="89"/>
    </row>
    <row r="195" spans="2:14" s="15" customFormat="1" ht="15.75" customHeight="1" x14ac:dyDescent="0.25">
      <c r="B195" s="16"/>
      <c r="N195" s="89"/>
    </row>
    <row r="196" spans="2:14" s="15" customFormat="1" ht="15.75" customHeight="1" x14ac:dyDescent="0.25">
      <c r="B196" s="16"/>
      <c r="N196" s="89"/>
    </row>
    <row r="197" spans="2:14" s="15" customFormat="1" ht="15.75" customHeight="1" x14ac:dyDescent="0.25">
      <c r="B197" s="16"/>
      <c r="N197" s="89"/>
    </row>
    <row r="198" spans="2:14" s="15" customFormat="1" ht="15.75" customHeight="1" x14ac:dyDescent="0.25">
      <c r="B198" s="16"/>
      <c r="N198" s="89"/>
    </row>
    <row r="199" spans="2:14" s="15" customFormat="1" ht="15.75" customHeight="1" x14ac:dyDescent="0.25">
      <c r="B199" s="16"/>
      <c r="N199" s="89"/>
    </row>
    <row r="200" spans="2:14" s="15" customFormat="1" ht="15.75" customHeight="1" x14ac:dyDescent="0.25">
      <c r="B200" s="16"/>
      <c r="N200" s="89"/>
    </row>
    <row r="201" spans="2:14" s="15" customFormat="1" ht="15.75" customHeight="1" x14ac:dyDescent="0.25">
      <c r="B201" s="16"/>
      <c r="N201" s="89"/>
    </row>
    <row r="202" spans="2:14" s="15" customFormat="1" ht="15.75" customHeight="1" x14ac:dyDescent="0.25">
      <c r="B202" s="16"/>
      <c r="N202" s="89"/>
    </row>
    <row r="203" spans="2:14" s="15" customFormat="1" ht="15.75" customHeight="1" x14ac:dyDescent="0.25">
      <c r="B203" s="16"/>
      <c r="N203" s="89"/>
    </row>
    <row r="204" spans="2:14" s="15" customFormat="1" ht="15.75" customHeight="1" x14ac:dyDescent="0.25">
      <c r="B204" s="16"/>
      <c r="N204" s="89"/>
    </row>
    <row r="205" spans="2:14" s="15" customFormat="1" ht="15.75" customHeight="1" x14ac:dyDescent="0.25">
      <c r="B205" s="16"/>
      <c r="N205" s="89"/>
    </row>
    <row r="206" spans="2:14" s="15" customFormat="1" ht="15.75" customHeight="1" x14ac:dyDescent="0.25">
      <c r="B206" s="16"/>
      <c r="N206" s="89"/>
    </row>
    <row r="207" spans="2:14" s="15" customFormat="1" ht="15.75" customHeight="1" x14ac:dyDescent="0.25">
      <c r="B207" s="16"/>
      <c r="N207" s="89"/>
    </row>
    <row r="208" spans="2:14" s="15" customFormat="1" ht="15.75" customHeight="1" x14ac:dyDescent="0.25">
      <c r="B208" s="16"/>
      <c r="N208" s="89"/>
    </row>
    <row r="209" spans="2:14" s="15" customFormat="1" ht="15.75" customHeight="1" x14ac:dyDescent="0.25">
      <c r="B209" s="16"/>
      <c r="N209" s="89"/>
    </row>
    <row r="210" spans="2:14" s="15" customFormat="1" ht="15.75" customHeight="1" x14ac:dyDescent="0.25">
      <c r="B210" s="16"/>
      <c r="N210" s="89"/>
    </row>
    <row r="211" spans="2:14" s="15" customFormat="1" ht="15.75" customHeight="1" x14ac:dyDescent="0.25">
      <c r="B211" s="16"/>
      <c r="N211" s="89"/>
    </row>
    <row r="212" spans="2:14" s="15" customFormat="1" ht="15.75" customHeight="1" x14ac:dyDescent="0.25">
      <c r="B212" s="16"/>
      <c r="N212" s="89"/>
    </row>
    <row r="213" spans="2:14" s="15" customFormat="1" ht="15.75" customHeight="1" x14ac:dyDescent="0.25">
      <c r="B213" s="16"/>
      <c r="N213" s="89"/>
    </row>
    <row r="214" spans="2:14" s="15" customFormat="1" ht="15.75" customHeight="1" x14ac:dyDescent="0.25">
      <c r="B214" s="16"/>
      <c r="N214" s="89"/>
    </row>
    <row r="215" spans="2:14" s="15" customFormat="1" ht="15.75" customHeight="1" x14ac:dyDescent="0.25">
      <c r="B215" s="16"/>
      <c r="N215" s="89"/>
    </row>
    <row r="216" spans="2:14" s="15" customFormat="1" ht="15.75" customHeight="1" x14ac:dyDescent="0.25">
      <c r="B216" s="16"/>
      <c r="N216" s="89"/>
    </row>
    <row r="217" spans="2:14" s="15" customFormat="1" ht="15.75" customHeight="1" x14ac:dyDescent="0.25">
      <c r="B217" s="16"/>
      <c r="N217" s="89"/>
    </row>
    <row r="218" spans="2:14" s="15" customFormat="1" ht="15.75" customHeight="1" x14ac:dyDescent="0.25">
      <c r="B218" s="16"/>
      <c r="N218" s="89"/>
    </row>
    <row r="219" spans="2:14" s="15" customFormat="1" ht="15.75" customHeight="1" x14ac:dyDescent="0.25">
      <c r="B219" s="16"/>
      <c r="N219" s="89"/>
    </row>
    <row r="220" spans="2:14" s="15" customFormat="1" ht="15.75" customHeight="1" x14ac:dyDescent="0.25">
      <c r="B220" s="16"/>
      <c r="N220" s="89"/>
    </row>
    <row r="221" spans="2:14" s="15" customFormat="1" ht="15.75" customHeight="1" x14ac:dyDescent="0.25">
      <c r="B221" s="16"/>
      <c r="N221" s="89"/>
    </row>
    <row r="222" spans="2:14" s="15" customFormat="1" ht="15.75" customHeight="1" x14ac:dyDescent="0.25">
      <c r="B222" s="16"/>
      <c r="N222" s="89"/>
    </row>
    <row r="223" spans="2:14" s="15" customFormat="1" ht="15.75" customHeight="1" x14ac:dyDescent="0.25">
      <c r="B223" s="16"/>
      <c r="N223" s="89"/>
    </row>
    <row r="224" spans="2:14" s="15" customFormat="1" ht="15.75" customHeight="1" x14ac:dyDescent="0.25">
      <c r="B224" s="16"/>
      <c r="N224" s="89"/>
    </row>
    <row r="225" spans="2:14" s="15" customFormat="1" ht="15.75" customHeight="1" x14ac:dyDescent="0.25">
      <c r="B225" s="16"/>
      <c r="N225" s="89"/>
    </row>
    <row r="226" spans="2:14" s="15" customFormat="1" ht="15.75" customHeight="1" x14ac:dyDescent="0.25">
      <c r="B226" s="16"/>
      <c r="N226" s="89"/>
    </row>
    <row r="227" spans="2:14" s="15" customFormat="1" ht="15.75" customHeight="1" x14ac:dyDescent="0.25">
      <c r="B227" s="16"/>
      <c r="N227" s="89"/>
    </row>
    <row r="228" spans="2:14" s="15" customFormat="1" ht="15.75" customHeight="1" x14ac:dyDescent="0.25">
      <c r="B228" s="16"/>
      <c r="N228" s="89"/>
    </row>
    <row r="229" spans="2:14" s="15" customFormat="1" ht="15.75" customHeight="1" x14ac:dyDescent="0.25">
      <c r="B229" s="16"/>
      <c r="N229" s="89"/>
    </row>
    <row r="230" spans="2:14" s="15" customFormat="1" ht="15.75" customHeight="1" x14ac:dyDescent="0.25">
      <c r="B230" s="16"/>
      <c r="N230" s="89"/>
    </row>
    <row r="231" spans="2:14" s="15" customFormat="1" ht="15.75" customHeight="1" x14ac:dyDescent="0.25">
      <c r="B231" s="16"/>
      <c r="N231" s="89"/>
    </row>
    <row r="232" spans="2:14" s="15" customFormat="1" ht="15.75" customHeight="1" x14ac:dyDescent="0.25">
      <c r="B232" s="16"/>
      <c r="N232" s="89"/>
    </row>
    <row r="233" spans="2:14" s="15" customFormat="1" ht="15.75" customHeight="1" x14ac:dyDescent="0.25">
      <c r="B233" s="16"/>
      <c r="N233" s="89"/>
    </row>
    <row r="234" spans="2:14" s="15" customFormat="1" ht="15.75" customHeight="1" x14ac:dyDescent="0.25">
      <c r="B234" s="16"/>
      <c r="N234" s="89"/>
    </row>
    <row r="235" spans="2:14" s="15" customFormat="1" ht="15.75" customHeight="1" x14ac:dyDescent="0.25">
      <c r="B235" s="16"/>
      <c r="N235" s="89"/>
    </row>
    <row r="236" spans="2:14" s="15" customFormat="1" ht="15.75" customHeight="1" x14ac:dyDescent="0.25">
      <c r="B236" s="16"/>
      <c r="N236" s="89"/>
    </row>
    <row r="237" spans="2:14" s="15" customFormat="1" ht="15.75" customHeight="1" x14ac:dyDescent="0.25">
      <c r="B237" s="16"/>
      <c r="N237" s="89"/>
    </row>
    <row r="238" spans="2:14" s="15" customFormat="1" ht="15.75" customHeight="1" x14ac:dyDescent="0.25">
      <c r="B238" s="16"/>
      <c r="N238" s="89"/>
    </row>
    <row r="239" spans="2:14" s="15" customFormat="1" ht="15.75" customHeight="1" x14ac:dyDescent="0.25">
      <c r="B239" s="16"/>
      <c r="N239" s="89"/>
    </row>
    <row r="240" spans="2:14" s="15" customFormat="1" ht="15.75" customHeight="1" x14ac:dyDescent="0.25">
      <c r="B240" s="16"/>
      <c r="N240" s="89"/>
    </row>
    <row r="241" spans="2:14" s="15" customFormat="1" ht="15.75" customHeight="1" x14ac:dyDescent="0.25">
      <c r="B241" s="16"/>
      <c r="N241" s="89"/>
    </row>
    <row r="242" spans="2:14" s="15" customFormat="1" ht="15.75" customHeight="1" x14ac:dyDescent="0.25">
      <c r="B242" s="16"/>
      <c r="N242" s="89"/>
    </row>
    <row r="243" spans="2:14" s="15" customFormat="1" ht="15.75" customHeight="1" x14ac:dyDescent="0.25">
      <c r="B243" s="16"/>
      <c r="N243" s="89"/>
    </row>
    <row r="244" spans="2:14" s="15" customFormat="1" ht="15.75" customHeight="1" x14ac:dyDescent="0.25">
      <c r="B244" s="16"/>
      <c r="N244" s="89"/>
    </row>
    <row r="245" spans="2:14" s="15" customFormat="1" ht="15.75" customHeight="1" x14ac:dyDescent="0.25">
      <c r="B245" s="16"/>
      <c r="N245" s="89"/>
    </row>
    <row r="246" spans="2:14" s="15" customFormat="1" ht="15.75" customHeight="1" x14ac:dyDescent="0.25">
      <c r="B246" s="16"/>
      <c r="N246" s="89"/>
    </row>
    <row r="247" spans="2:14" s="15" customFormat="1" ht="15.75" customHeight="1" x14ac:dyDescent="0.25">
      <c r="B247" s="16"/>
      <c r="N247" s="89"/>
    </row>
    <row r="248" spans="2:14" s="15" customFormat="1" ht="15.75" customHeight="1" x14ac:dyDescent="0.25">
      <c r="B248" s="16"/>
      <c r="N248" s="89"/>
    </row>
    <row r="249" spans="2:14" s="15" customFormat="1" ht="15.75" customHeight="1" x14ac:dyDescent="0.25">
      <c r="B249" s="16"/>
      <c r="N249" s="89"/>
    </row>
    <row r="250" spans="2:14" s="15" customFormat="1" ht="15.75" customHeight="1" x14ac:dyDescent="0.25">
      <c r="B250" s="16"/>
      <c r="N250" s="89"/>
    </row>
    <row r="251" spans="2:14" s="15" customFormat="1" ht="15.75" customHeight="1" x14ac:dyDescent="0.25">
      <c r="B251" s="16"/>
      <c r="N251" s="89"/>
    </row>
    <row r="252" spans="2:14" s="15" customFormat="1" ht="15.75" customHeight="1" x14ac:dyDescent="0.25">
      <c r="B252" s="16"/>
      <c r="N252" s="89"/>
    </row>
    <row r="253" spans="2:14" s="15" customFormat="1" ht="15.75" customHeight="1" x14ac:dyDescent="0.25">
      <c r="B253" s="16"/>
      <c r="N253" s="89"/>
    </row>
    <row r="254" spans="2:14" s="15" customFormat="1" ht="15.75" customHeight="1" x14ac:dyDescent="0.25">
      <c r="B254" s="16"/>
      <c r="N254" s="89"/>
    </row>
    <row r="255" spans="2:14" s="15" customFormat="1" ht="15.75" customHeight="1" x14ac:dyDescent="0.25">
      <c r="B255" s="16"/>
      <c r="N255" s="89"/>
    </row>
    <row r="256" spans="2:14" s="15" customFormat="1" ht="15.75" customHeight="1" x14ac:dyDescent="0.25">
      <c r="B256" s="16"/>
      <c r="N256" s="89"/>
    </row>
    <row r="257" spans="2:14" s="15" customFormat="1" ht="15.75" customHeight="1" x14ac:dyDescent="0.25">
      <c r="B257" s="16"/>
      <c r="N257" s="89"/>
    </row>
    <row r="258" spans="2:14" s="15" customFormat="1" ht="15.75" customHeight="1" x14ac:dyDescent="0.25">
      <c r="B258" s="16"/>
      <c r="N258" s="89"/>
    </row>
    <row r="259" spans="2:14" s="15" customFormat="1" ht="15.75" customHeight="1" x14ac:dyDescent="0.25">
      <c r="B259" s="16"/>
      <c r="N259" s="89"/>
    </row>
    <row r="260" spans="2:14" s="15" customFormat="1" ht="15.75" customHeight="1" x14ac:dyDescent="0.25">
      <c r="B260" s="16"/>
      <c r="N260" s="89"/>
    </row>
    <row r="261" spans="2:14" s="15" customFormat="1" ht="15.75" customHeight="1" x14ac:dyDescent="0.25">
      <c r="B261" s="16"/>
      <c r="N261" s="89"/>
    </row>
    <row r="262" spans="2:14" s="15" customFormat="1" ht="15.75" customHeight="1" x14ac:dyDescent="0.25">
      <c r="B262" s="16"/>
      <c r="N262" s="89"/>
    </row>
    <row r="263" spans="2:14" s="15" customFormat="1" ht="15.75" customHeight="1" x14ac:dyDescent="0.25">
      <c r="B263" s="16"/>
      <c r="N263" s="89"/>
    </row>
    <row r="264" spans="2:14" s="15" customFormat="1" ht="15.75" customHeight="1" x14ac:dyDescent="0.25">
      <c r="B264" s="16"/>
      <c r="N264" s="89"/>
    </row>
    <row r="265" spans="2:14" s="15" customFormat="1" ht="15.75" customHeight="1" x14ac:dyDescent="0.25">
      <c r="B265" s="16"/>
      <c r="N265" s="89"/>
    </row>
    <row r="266" spans="2:14" s="15" customFormat="1" ht="15.75" customHeight="1" x14ac:dyDescent="0.25">
      <c r="B266" s="16"/>
      <c r="N266" s="89"/>
    </row>
    <row r="267" spans="2:14" s="15" customFormat="1" ht="15.75" customHeight="1" x14ac:dyDescent="0.25">
      <c r="B267" s="16"/>
      <c r="N267" s="89"/>
    </row>
    <row r="268" spans="2:14" s="15" customFormat="1" ht="15.75" customHeight="1" x14ac:dyDescent="0.25">
      <c r="B268" s="16"/>
      <c r="N268" s="89"/>
    </row>
    <row r="269" spans="2:14" s="15" customFormat="1" ht="15.75" customHeight="1" x14ac:dyDescent="0.25">
      <c r="B269" s="16"/>
      <c r="N269" s="89"/>
    </row>
    <row r="270" spans="2:14" s="15" customFormat="1" ht="15.75" customHeight="1" x14ac:dyDescent="0.25">
      <c r="B270" s="16"/>
      <c r="N270" s="89"/>
    </row>
    <row r="271" spans="2:14" s="15" customFormat="1" ht="15.75" customHeight="1" x14ac:dyDescent="0.25">
      <c r="B271" s="16"/>
      <c r="N271" s="89"/>
    </row>
    <row r="272" spans="2:14" s="15" customFormat="1" ht="15.75" customHeight="1" x14ac:dyDescent="0.25">
      <c r="B272" s="16"/>
      <c r="N272" s="89"/>
    </row>
    <row r="273" spans="2:14" s="15" customFormat="1" ht="15.75" customHeight="1" x14ac:dyDescent="0.25">
      <c r="B273" s="16"/>
      <c r="N273" s="89"/>
    </row>
    <row r="274" spans="2:14" s="15" customFormat="1" ht="15.75" customHeight="1" x14ac:dyDescent="0.25">
      <c r="B274" s="16"/>
      <c r="N274" s="89"/>
    </row>
    <row r="275" spans="2:14" s="15" customFormat="1" ht="15.75" customHeight="1" x14ac:dyDescent="0.25">
      <c r="B275" s="16"/>
      <c r="N275" s="89"/>
    </row>
    <row r="276" spans="2:14" s="15" customFormat="1" ht="15.75" customHeight="1" x14ac:dyDescent="0.25">
      <c r="B276" s="16"/>
      <c r="N276" s="89"/>
    </row>
    <row r="277" spans="2:14" s="15" customFormat="1" ht="15.75" customHeight="1" x14ac:dyDescent="0.25">
      <c r="B277" s="16"/>
      <c r="N277" s="89"/>
    </row>
    <row r="278" spans="2:14" s="15" customFormat="1" ht="15.75" customHeight="1" x14ac:dyDescent="0.25">
      <c r="B278" s="16"/>
      <c r="N278" s="89"/>
    </row>
    <row r="279" spans="2:14" s="15" customFormat="1" ht="15.75" customHeight="1" x14ac:dyDescent="0.25">
      <c r="B279" s="16"/>
      <c r="N279" s="89"/>
    </row>
    <row r="280" spans="2:14" s="15" customFormat="1" ht="15.75" customHeight="1" x14ac:dyDescent="0.25">
      <c r="B280" s="16"/>
      <c r="N280" s="89"/>
    </row>
    <row r="281" spans="2:14" s="15" customFormat="1" ht="15.75" customHeight="1" x14ac:dyDescent="0.25">
      <c r="B281" s="16"/>
      <c r="N281" s="89"/>
    </row>
    <row r="282" spans="2:14" s="15" customFormat="1" ht="15.75" customHeight="1" x14ac:dyDescent="0.25">
      <c r="B282" s="16"/>
      <c r="N282" s="89"/>
    </row>
    <row r="283" spans="2:14" s="15" customFormat="1" ht="15.75" customHeight="1" x14ac:dyDescent="0.25">
      <c r="B283" s="16"/>
      <c r="N283" s="89"/>
    </row>
    <row r="284" spans="2:14" s="15" customFormat="1" ht="15.75" customHeight="1" x14ac:dyDescent="0.25">
      <c r="B284" s="16"/>
      <c r="N284" s="89"/>
    </row>
    <row r="285" spans="2:14" s="15" customFormat="1" ht="15.75" customHeight="1" x14ac:dyDescent="0.25">
      <c r="B285" s="16"/>
      <c r="N285" s="89"/>
    </row>
    <row r="286" spans="2:14" s="15" customFormat="1" ht="15.75" customHeight="1" x14ac:dyDescent="0.25">
      <c r="B286" s="16"/>
      <c r="N286" s="89"/>
    </row>
    <row r="287" spans="2:14" s="15" customFormat="1" ht="15.75" customHeight="1" x14ac:dyDescent="0.25">
      <c r="B287" s="16"/>
      <c r="N287" s="89"/>
    </row>
    <row r="288" spans="2:14" s="15" customFormat="1" ht="15.75" customHeight="1" x14ac:dyDescent="0.25">
      <c r="B288" s="16"/>
      <c r="N288" s="89"/>
    </row>
    <row r="289" spans="2:14" s="15" customFormat="1" ht="15.75" customHeight="1" x14ac:dyDescent="0.25">
      <c r="B289" s="16"/>
      <c r="N289" s="89"/>
    </row>
    <row r="290" spans="2:14" s="15" customFormat="1" ht="15.75" customHeight="1" x14ac:dyDescent="0.25">
      <c r="B290" s="16"/>
      <c r="N290" s="89"/>
    </row>
    <row r="291" spans="2:14" s="15" customFormat="1" ht="15.75" customHeight="1" x14ac:dyDescent="0.25">
      <c r="B291" s="16"/>
      <c r="N291" s="89"/>
    </row>
    <row r="292" spans="2:14" s="15" customFormat="1" ht="15.75" customHeight="1" x14ac:dyDescent="0.25">
      <c r="B292" s="16"/>
      <c r="N292" s="89"/>
    </row>
    <row r="293" spans="2:14" s="15" customFormat="1" ht="15.75" customHeight="1" x14ac:dyDescent="0.25">
      <c r="B293" s="16"/>
      <c r="N293" s="89"/>
    </row>
    <row r="294" spans="2:14" s="15" customFormat="1" ht="15.75" customHeight="1" x14ac:dyDescent="0.25">
      <c r="B294" s="16"/>
      <c r="N294" s="89"/>
    </row>
    <row r="295" spans="2:14" s="15" customFormat="1" ht="15.75" customHeight="1" x14ac:dyDescent="0.25">
      <c r="B295" s="16"/>
      <c r="N295" s="89"/>
    </row>
    <row r="296" spans="2:14" s="15" customFormat="1" ht="15.75" customHeight="1" x14ac:dyDescent="0.25">
      <c r="B296" s="16"/>
      <c r="N296" s="89"/>
    </row>
    <row r="297" spans="2:14" s="15" customFormat="1" ht="15.75" customHeight="1" x14ac:dyDescent="0.25">
      <c r="B297" s="16"/>
      <c r="N297" s="89"/>
    </row>
    <row r="298" spans="2:14" s="15" customFormat="1" ht="15.75" customHeight="1" x14ac:dyDescent="0.25">
      <c r="B298" s="16"/>
      <c r="N298" s="89"/>
    </row>
    <row r="299" spans="2:14" s="15" customFormat="1" ht="15.75" customHeight="1" x14ac:dyDescent="0.25">
      <c r="B299" s="16"/>
      <c r="N299" s="89"/>
    </row>
    <row r="300" spans="2:14" s="15" customFormat="1" ht="15.75" customHeight="1" x14ac:dyDescent="0.25">
      <c r="B300" s="16"/>
      <c r="N300" s="89"/>
    </row>
    <row r="301" spans="2:14" s="15" customFormat="1" ht="15.75" customHeight="1" x14ac:dyDescent="0.25">
      <c r="B301" s="16"/>
      <c r="N301" s="89"/>
    </row>
    <row r="302" spans="2:14" s="15" customFormat="1" ht="15.75" customHeight="1" x14ac:dyDescent="0.25">
      <c r="B302" s="16"/>
      <c r="N302" s="89"/>
    </row>
    <row r="303" spans="2:14" s="15" customFormat="1" ht="15.75" customHeight="1" x14ac:dyDescent="0.25">
      <c r="B303" s="16"/>
      <c r="N303" s="89"/>
    </row>
    <row r="304" spans="2:14" s="15" customFormat="1" ht="15.75" customHeight="1" x14ac:dyDescent="0.25">
      <c r="B304" s="16"/>
      <c r="N304" s="89"/>
    </row>
    <row r="305" spans="2:14" s="15" customFormat="1" ht="15.75" customHeight="1" x14ac:dyDescent="0.25">
      <c r="B305" s="16"/>
      <c r="N305" s="89"/>
    </row>
    <row r="306" spans="2:14" s="15" customFormat="1" ht="15.75" customHeight="1" x14ac:dyDescent="0.25">
      <c r="B306" s="16"/>
      <c r="N306" s="89"/>
    </row>
    <row r="307" spans="2:14" s="15" customFormat="1" ht="15.75" customHeight="1" x14ac:dyDescent="0.25">
      <c r="B307" s="16"/>
      <c r="N307" s="89"/>
    </row>
    <row r="308" spans="2:14" s="15" customFormat="1" ht="15.75" customHeight="1" x14ac:dyDescent="0.25">
      <c r="B308" s="16"/>
      <c r="N308" s="89"/>
    </row>
    <row r="309" spans="2:14" s="15" customFormat="1" ht="15.75" customHeight="1" x14ac:dyDescent="0.25">
      <c r="B309" s="16"/>
      <c r="N309" s="89"/>
    </row>
    <row r="310" spans="2:14" s="15" customFormat="1" ht="15.75" customHeight="1" x14ac:dyDescent="0.25">
      <c r="B310" s="16"/>
      <c r="N310" s="89"/>
    </row>
    <row r="311" spans="2:14" s="15" customFormat="1" ht="15.75" customHeight="1" x14ac:dyDescent="0.25">
      <c r="B311" s="16"/>
      <c r="N311" s="89"/>
    </row>
    <row r="312" spans="2:14" s="15" customFormat="1" ht="15.75" customHeight="1" x14ac:dyDescent="0.25">
      <c r="B312" s="16"/>
      <c r="N312" s="89"/>
    </row>
    <row r="313" spans="2:14" s="15" customFormat="1" ht="15.75" customHeight="1" x14ac:dyDescent="0.25">
      <c r="B313" s="16"/>
      <c r="N313" s="89"/>
    </row>
    <row r="314" spans="2:14" s="15" customFormat="1" ht="15.75" customHeight="1" x14ac:dyDescent="0.25">
      <c r="B314" s="16"/>
      <c r="N314" s="89"/>
    </row>
    <row r="315" spans="2:14" s="15" customFormat="1" ht="15.75" customHeight="1" x14ac:dyDescent="0.25">
      <c r="B315" s="16"/>
      <c r="N315" s="89"/>
    </row>
    <row r="316" spans="2:14" s="15" customFormat="1" ht="15.75" customHeight="1" x14ac:dyDescent="0.25">
      <c r="B316" s="16"/>
      <c r="N316" s="89"/>
    </row>
    <row r="317" spans="2:14" s="15" customFormat="1" ht="15.75" customHeight="1" x14ac:dyDescent="0.25">
      <c r="B317" s="16"/>
      <c r="N317" s="89"/>
    </row>
    <row r="318" spans="2:14" s="15" customFormat="1" ht="15.75" customHeight="1" x14ac:dyDescent="0.25">
      <c r="B318" s="16"/>
      <c r="N318" s="89"/>
    </row>
    <row r="319" spans="2:14" s="15" customFormat="1" ht="15.75" customHeight="1" x14ac:dyDescent="0.25">
      <c r="B319" s="16"/>
      <c r="N319" s="89"/>
    </row>
    <row r="320" spans="2:14" s="15" customFormat="1" ht="15.75" customHeight="1" x14ac:dyDescent="0.25">
      <c r="B320" s="16"/>
      <c r="N320" s="89"/>
    </row>
    <row r="321" spans="2:14" s="15" customFormat="1" ht="15.75" customHeight="1" x14ac:dyDescent="0.25">
      <c r="B321" s="16"/>
      <c r="N321" s="89"/>
    </row>
    <row r="322" spans="2:14" s="15" customFormat="1" ht="15.75" customHeight="1" x14ac:dyDescent="0.25">
      <c r="B322" s="16"/>
      <c r="N322" s="89"/>
    </row>
    <row r="323" spans="2:14" s="15" customFormat="1" ht="15.75" customHeight="1" x14ac:dyDescent="0.25">
      <c r="B323" s="16"/>
      <c r="N323" s="89"/>
    </row>
    <row r="324" spans="2:14" s="15" customFormat="1" ht="15.75" customHeight="1" x14ac:dyDescent="0.25">
      <c r="B324" s="16"/>
      <c r="N324" s="89"/>
    </row>
    <row r="325" spans="2:14" s="15" customFormat="1" ht="15.75" customHeight="1" x14ac:dyDescent="0.25">
      <c r="B325" s="16"/>
      <c r="N325" s="89"/>
    </row>
    <row r="326" spans="2:14" s="15" customFormat="1" ht="15.75" customHeight="1" x14ac:dyDescent="0.25">
      <c r="B326" s="16"/>
      <c r="N326" s="89"/>
    </row>
    <row r="327" spans="2:14" s="15" customFormat="1" ht="15.75" customHeight="1" x14ac:dyDescent="0.25">
      <c r="B327" s="16"/>
      <c r="N327" s="89"/>
    </row>
    <row r="328" spans="2:14" s="15" customFormat="1" ht="15.75" customHeight="1" x14ac:dyDescent="0.25">
      <c r="B328" s="16"/>
      <c r="N328" s="89"/>
    </row>
    <row r="329" spans="2:14" s="15" customFormat="1" ht="15.75" customHeight="1" x14ac:dyDescent="0.25">
      <c r="B329" s="16"/>
      <c r="N329" s="89"/>
    </row>
    <row r="330" spans="2:14" s="15" customFormat="1" ht="15.75" customHeight="1" x14ac:dyDescent="0.25">
      <c r="B330" s="16"/>
      <c r="N330" s="89"/>
    </row>
    <row r="331" spans="2:14" s="15" customFormat="1" ht="15.75" customHeight="1" x14ac:dyDescent="0.25">
      <c r="B331" s="16"/>
      <c r="N331" s="89"/>
    </row>
    <row r="332" spans="2:14" s="15" customFormat="1" ht="15.75" customHeight="1" x14ac:dyDescent="0.25">
      <c r="B332" s="16"/>
      <c r="N332" s="89"/>
    </row>
    <row r="333" spans="2:14" s="15" customFormat="1" ht="15.75" customHeight="1" x14ac:dyDescent="0.25">
      <c r="B333" s="16"/>
      <c r="N333" s="89"/>
    </row>
    <row r="334" spans="2:14" s="15" customFormat="1" ht="15.75" customHeight="1" x14ac:dyDescent="0.25">
      <c r="B334" s="16"/>
      <c r="N334" s="89"/>
    </row>
    <row r="335" spans="2:14" s="15" customFormat="1" ht="15.75" customHeight="1" x14ac:dyDescent="0.25">
      <c r="B335" s="16"/>
      <c r="N335" s="89"/>
    </row>
    <row r="336" spans="2:14" s="15" customFormat="1" ht="15.75" customHeight="1" x14ac:dyDescent="0.25">
      <c r="B336" s="16"/>
      <c r="N336" s="89"/>
    </row>
    <row r="337" spans="2:14" s="15" customFormat="1" ht="15.75" customHeight="1" x14ac:dyDescent="0.25">
      <c r="B337" s="16"/>
      <c r="N337" s="89"/>
    </row>
    <row r="338" spans="2:14" s="15" customFormat="1" ht="15.75" customHeight="1" x14ac:dyDescent="0.25">
      <c r="B338" s="16"/>
      <c r="N338" s="89"/>
    </row>
    <row r="339" spans="2:14" s="15" customFormat="1" ht="15.75" customHeight="1" x14ac:dyDescent="0.25">
      <c r="B339" s="16"/>
      <c r="N339" s="89"/>
    </row>
    <row r="340" spans="2:14" s="15" customFormat="1" ht="15.75" customHeight="1" x14ac:dyDescent="0.25">
      <c r="B340" s="16"/>
      <c r="N340" s="89"/>
    </row>
    <row r="341" spans="2:14" s="15" customFormat="1" ht="15.75" customHeight="1" x14ac:dyDescent="0.25">
      <c r="B341" s="16"/>
      <c r="N341" s="89"/>
    </row>
    <row r="342" spans="2:14" s="15" customFormat="1" ht="15.75" customHeight="1" x14ac:dyDescent="0.25">
      <c r="B342" s="16"/>
      <c r="N342" s="89"/>
    </row>
    <row r="343" spans="2:14" s="15" customFormat="1" ht="15.75" customHeight="1" x14ac:dyDescent="0.25">
      <c r="B343" s="16"/>
      <c r="N343" s="89"/>
    </row>
    <row r="344" spans="2:14" s="15" customFormat="1" ht="15.75" customHeight="1" x14ac:dyDescent="0.25">
      <c r="B344" s="16"/>
      <c r="N344" s="89"/>
    </row>
    <row r="345" spans="2:14" s="15" customFormat="1" ht="15.75" customHeight="1" x14ac:dyDescent="0.25">
      <c r="B345" s="16"/>
      <c r="N345" s="89"/>
    </row>
    <row r="346" spans="2:14" s="15" customFormat="1" ht="15.75" customHeight="1" x14ac:dyDescent="0.25">
      <c r="B346" s="16"/>
      <c r="N346" s="89"/>
    </row>
    <row r="347" spans="2:14" s="15" customFormat="1" ht="15.75" customHeight="1" x14ac:dyDescent="0.25">
      <c r="B347" s="16"/>
      <c r="N347" s="89"/>
    </row>
    <row r="348" spans="2:14" s="15" customFormat="1" ht="15.75" customHeight="1" x14ac:dyDescent="0.25">
      <c r="B348" s="16"/>
      <c r="N348" s="89"/>
    </row>
    <row r="349" spans="2:14" s="15" customFormat="1" ht="15.75" customHeight="1" x14ac:dyDescent="0.25">
      <c r="B349" s="16"/>
      <c r="N349" s="89"/>
    </row>
    <row r="350" spans="2:14" s="15" customFormat="1" ht="15.75" customHeight="1" x14ac:dyDescent="0.25">
      <c r="B350" s="16"/>
      <c r="N350" s="89"/>
    </row>
    <row r="351" spans="2:14" s="15" customFormat="1" ht="15.75" customHeight="1" x14ac:dyDescent="0.25">
      <c r="B351" s="16"/>
      <c r="N351" s="89"/>
    </row>
    <row r="352" spans="2:14" s="15" customFormat="1" ht="15.75" customHeight="1" x14ac:dyDescent="0.25">
      <c r="B352" s="16"/>
      <c r="N352" s="89"/>
    </row>
    <row r="353" spans="2:14" s="15" customFormat="1" ht="15.75" customHeight="1" x14ac:dyDescent="0.25">
      <c r="B353" s="16"/>
      <c r="N353" s="89"/>
    </row>
    <row r="354" spans="2:14" s="15" customFormat="1" ht="15.75" customHeight="1" x14ac:dyDescent="0.25">
      <c r="B354" s="16"/>
      <c r="N354" s="89"/>
    </row>
    <row r="355" spans="2:14" s="15" customFormat="1" ht="15.75" customHeight="1" x14ac:dyDescent="0.25">
      <c r="B355" s="16"/>
      <c r="N355" s="89"/>
    </row>
    <row r="356" spans="2:14" s="15" customFormat="1" ht="15.75" customHeight="1" x14ac:dyDescent="0.25">
      <c r="B356" s="16"/>
      <c r="N356" s="89"/>
    </row>
    <row r="357" spans="2:14" s="15" customFormat="1" ht="15.75" customHeight="1" x14ac:dyDescent="0.25">
      <c r="B357" s="16"/>
      <c r="N357" s="89"/>
    </row>
    <row r="358" spans="2:14" s="15" customFormat="1" ht="15.75" customHeight="1" x14ac:dyDescent="0.25">
      <c r="B358" s="16"/>
      <c r="N358" s="89"/>
    </row>
    <row r="359" spans="2:14" s="15" customFormat="1" ht="15.75" customHeight="1" x14ac:dyDescent="0.25">
      <c r="B359" s="16"/>
      <c r="N359" s="89"/>
    </row>
    <row r="360" spans="2:14" s="15" customFormat="1" ht="15.75" customHeight="1" x14ac:dyDescent="0.25">
      <c r="B360" s="16"/>
      <c r="N360" s="89"/>
    </row>
    <row r="361" spans="2:14" s="15" customFormat="1" ht="15.75" customHeight="1" x14ac:dyDescent="0.25">
      <c r="B361" s="16"/>
      <c r="N361" s="89"/>
    </row>
    <row r="362" spans="2:14" s="15" customFormat="1" ht="15.75" customHeight="1" x14ac:dyDescent="0.25">
      <c r="B362" s="16"/>
      <c r="N362" s="89"/>
    </row>
    <row r="363" spans="2:14" s="15" customFormat="1" ht="15.75" customHeight="1" x14ac:dyDescent="0.25">
      <c r="B363" s="16"/>
      <c r="N363" s="89"/>
    </row>
    <row r="364" spans="2:14" s="15" customFormat="1" ht="15.75" customHeight="1" x14ac:dyDescent="0.25">
      <c r="B364" s="16"/>
      <c r="N364" s="89"/>
    </row>
    <row r="365" spans="2:14" s="15" customFormat="1" ht="15.75" customHeight="1" x14ac:dyDescent="0.25">
      <c r="B365" s="16"/>
      <c r="N365" s="89"/>
    </row>
    <row r="366" spans="2:14" s="15" customFormat="1" ht="15.75" customHeight="1" x14ac:dyDescent="0.25">
      <c r="B366" s="16"/>
      <c r="N366" s="89"/>
    </row>
    <row r="367" spans="2:14" s="15" customFormat="1" ht="15.75" customHeight="1" x14ac:dyDescent="0.25">
      <c r="B367" s="16"/>
      <c r="N367" s="89"/>
    </row>
    <row r="368" spans="2:14" s="15" customFormat="1" ht="15.75" customHeight="1" x14ac:dyDescent="0.25">
      <c r="B368" s="16"/>
      <c r="N368" s="89"/>
    </row>
    <row r="369" spans="2:14" s="15" customFormat="1" ht="15.75" customHeight="1" x14ac:dyDescent="0.25">
      <c r="B369" s="16"/>
      <c r="N369" s="89"/>
    </row>
    <row r="370" spans="2:14" s="15" customFormat="1" ht="15.75" customHeight="1" x14ac:dyDescent="0.25">
      <c r="B370" s="16"/>
      <c r="N370" s="89"/>
    </row>
    <row r="371" spans="2:14" s="15" customFormat="1" ht="15.75" customHeight="1" x14ac:dyDescent="0.25">
      <c r="B371" s="16"/>
      <c r="N371" s="89"/>
    </row>
    <row r="372" spans="2:14" s="15" customFormat="1" ht="15.75" customHeight="1" x14ac:dyDescent="0.25">
      <c r="B372" s="16"/>
      <c r="N372" s="89"/>
    </row>
    <row r="373" spans="2:14" s="15" customFormat="1" ht="15.75" customHeight="1" x14ac:dyDescent="0.25">
      <c r="B373" s="16"/>
      <c r="N373" s="89"/>
    </row>
    <row r="374" spans="2:14" s="15" customFormat="1" ht="15.75" customHeight="1" x14ac:dyDescent="0.25">
      <c r="B374" s="16"/>
      <c r="N374" s="89"/>
    </row>
    <row r="375" spans="2:14" s="15" customFormat="1" ht="15.75" customHeight="1" x14ac:dyDescent="0.25">
      <c r="B375" s="16"/>
      <c r="N375" s="89"/>
    </row>
    <row r="376" spans="2:14" s="15" customFormat="1" ht="15.75" customHeight="1" x14ac:dyDescent="0.25">
      <c r="B376" s="16"/>
      <c r="N376" s="89"/>
    </row>
    <row r="377" spans="2:14" s="15" customFormat="1" ht="15.75" customHeight="1" x14ac:dyDescent="0.25">
      <c r="B377" s="16"/>
      <c r="N377" s="89"/>
    </row>
    <row r="378" spans="2:14" s="15" customFormat="1" ht="15.75" customHeight="1" x14ac:dyDescent="0.25">
      <c r="B378" s="16"/>
      <c r="N378" s="89"/>
    </row>
    <row r="379" spans="2:14" s="15" customFormat="1" ht="15.75" customHeight="1" x14ac:dyDescent="0.25">
      <c r="B379" s="16"/>
      <c r="N379" s="89"/>
    </row>
    <row r="380" spans="2:14" s="15" customFormat="1" ht="15.75" customHeight="1" x14ac:dyDescent="0.25">
      <c r="B380" s="16"/>
      <c r="N380" s="89"/>
    </row>
    <row r="381" spans="2:14" s="15" customFormat="1" ht="15.75" customHeight="1" x14ac:dyDescent="0.25">
      <c r="B381" s="16"/>
      <c r="N381" s="89"/>
    </row>
    <row r="382" spans="2:14" s="15" customFormat="1" ht="15.75" customHeight="1" x14ac:dyDescent="0.25">
      <c r="B382" s="16"/>
      <c r="N382" s="89"/>
    </row>
    <row r="383" spans="2:14" s="15" customFormat="1" ht="15.75" customHeight="1" x14ac:dyDescent="0.25">
      <c r="B383" s="16"/>
      <c r="N383" s="89"/>
    </row>
    <row r="384" spans="2:14" s="15" customFormat="1" ht="15.75" customHeight="1" x14ac:dyDescent="0.25">
      <c r="B384" s="16"/>
      <c r="N384" s="89"/>
    </row>
    <row r="385" spans="2:14" s="15" customFormat="1" ht="15.75" customHeight="1" x14ac:dyDescent="0.25">
      <c r="B385" s="16"/>
      <c r="N385" s="89"/>
    </row>
    <row r="386" spans="2:14" s="15" customFormat="1" ht="15.75" customHeight="1" x14ac:dyDescent="0.25">
      <c r="B386" s="16"/>
      <c r="N386" s="89"/>
    </row>
    <row r="387" spans="2:14" s="15" customFormat="1" ht="15.75" customHeight="1" x14ac:dyDescent="0.25">
      <c r="B387" s="16"/>
      <c r="N387" s="89"/>
    </row>
    <row r="388" spans="2:14" s="15" customFormat="1" ht="15.75" customHeight="1" x14ac:dyDescent="0.25">
      <c r="B388" s="16"/>
      <c r="N388" s="89"/>
    </row>
    <row r="389" spans="2:14" s="15" customFormat="1" ht="15.75" customHeight="1" x14ac:dyDescent="0.25">
      <c r="B389" s="16"/>
      <c r="N389" s="89"/>
    </row>
    <row r="390" spans="2:14" s="15" customFormat="1" ht="15.75" customHeight="1" x14ac:dyDescent="0.25">
      <c r="B390" s="16"/>
      <c r="N390" s="89"/>
    </row>
    <row r="391" spans="2:14" s="15" customFormat="1" ht="15.75" customHeight="1" x14ac:dyDescent="0.25">
      <c r="B391" s="16"/>
      <c r="N391" s="89"/>
    </row>
    <row r="392" spans="2:14" s="15" customFormat="1" ht="15.75" customHeight="1" x14ac:dyDescent="0.25">
      <c r="B392" s="16"/>
      <c r="N392" s="89"/>
    </row>
    <row r="393" spans="2:14" s="15" customFormat="1" ht="15.75" customHeight="1" x14ac:dyDescent="0.25">
      <c r="B393" s="16"/>
      <c r="N393" s="89"/>
    </row>
    <row r="394" spans="2:14" s="15" customFormat="1" ht="15.75" customHeight="1" x14ac:dyDescent="0.25">
      <c r="B394" s="16"/>
      <c r="N394" s="89"/>
    </row>
    <row r="395" spans="2:14" s="15" customFormat="1" ht="15.75" customHeight="1" x14ac:dyDescent="0.25">
      <c r="B395" s="16"/>
      <c r="N395" s="89"/>
    </row>
    <row r="396" spans="2:14" s="15" customFormat="1" ht="15.75" customHeight="1" x14ac:dyDescent="0.25">
      <c r="B396" s="16"/>
      <c r="N396" s="89"/>
    </row>
    <row r="397" spans="2:14" s="15" customFormat="1" ht="15.75" customHeight="1" x14ac:dyDescent="0.25">
      <c r="B397" s="16"/>
      <c r="N397" s="89"/>
    </row>
    <row r="398" spans="2:14" s="15" customFormat="1" ht="15.75" customHeight="1" x14ac:dyDescent="0.25">
      <c r="B398" s="16"/>
      <c r="N398" s="89"/>
    </row>
    <row r="399" spans="2:14" s="15" customFormat="1" ht="15.75" customHeight="1" x14ac:dyDescent="0.25">
      <c r="B399" s="16"/>
      <c r="N399" s="89"/>
    </row>
    <row r="400" spans="2:14" s="15" customFormat="1" ht="15.75" customHeight="1" x14ac:dyDescent="0.25">
      <c r="B400" s="16"/>
      <c r="N400" s="89"/>
    </row>
    <row r="401" spans="2:14" s="15" customFormat="1" ht="15.75" customHeight="1" x14ac:dyDescent="0.25">
      <c r="B401" s="16"/>
      <c r="N401" s="89"/>
    </row>
    <row r="402" spans="2:14" s="15" customFormat="1" ht="15.75" customHeight="1" x14ac:dyDescent="0.25">
      <c r="B402" s="16"/>
      <c r="N402" s="89"/>
    </row>
    <row r="403" spans="2:14" s="15" customFormat="1" ht="15.75" customHeight="1" x14ac:dyDescent="0.25">
      <c r="B403" s="16"/>
      <c r="N403" s="89"/>
    </row>
    <row r="404" spans="2:14" s="15" customFormat="1" ht="15.75" customHeight="1" x14ac:dyDescent="0.25">
      <c r="B404" s="16"/>
      <c r="N404" s="89"/>
    </row>
    <row r="405" spans="2:14" s="15" customFormat="1" ht="15.75" customHeight="1" x14ac:dyDescent="0.25">
      <c r="B405" s="16"/>
      <c r="N405" s="89"/>
    </row>
    <row r="406" spans="2:14" s="15" customFormat="1" ht="15.75" customHeight="1" x14ac:dyDescent="0.25">
      <c r="B406" s="16"/>
      <c r="N406" s="89"/>
    </row>
    <row r="407" spans="2:14" s="15" customFormat="1" ht="15.75" customHeight="1" x14ac:dyDescent="0.25">
      <c r="B407" s="16"/>
      <c r="N407" s="89"/>
    </row>
    <row r="408" spans="2:14" s="15" customFormat="1" ht="15.75" customHeight="1" x14ac:dyDescent="0.25">
      <c r="B408" s="16"/>
      <c r="N408" s="89"/>
    </row>
    <row r="409" spans="2:14" s="15" customFormat="1" ht="15.75" customHeight="1" x14ac:dyDescent="0.25">
      <c r="B409" s="16"/>
      <c r="N409" s="89"/>
    </row>
    <row r="410" spans="2:14" s="15" customFormat="1" ht="15.75" customHeight="1" x14ac:dyDescent="0.25">
      <c r="B410" s="16"/>
      <c r="N410" s="89"/>
    </row>
    <row r="411" spans="2:14" s="15" customFormat="1" ht="15.75" customHeight="1" x14ac:dyDescent="0.25">
      <c r="B411" s="16"/>
      <c r="N411" s="89"/>
    </row>
    <row r="412" spans="2:14" s="15" customFormat="1" ht="15.75" customHeight="1" x14ac:dyDescent="0.25">
      <c r="B412" s="16"/>
      <c r="N412" s="89"/>
    </row>
    <row r="413" spans="2:14" s="15" customFormat="1" ht="15.75" customHeight="1" x14ac:dyDescent="0.25">
      <c r="B413" s="16"/>
      <c r="N413" s="89"/>
    </row>
    <row r="414" spans="2:14" s="15" customFormat="1" ht="15.75" customHeight="1" x14ac:dyDescent="0.25">
      <c r="B414" s="16"/>
      <c r="N414" s="89"/>
    </row>
    <row r="415" spans="2:14" s="15" customFormat="1" ht="15.75" customHeight="1" x14ac:dyDescent="0.25">
      <c r="B415" s="16"/>
      <c r="N415" s="89"/>
    </row>
    <row r="416" spans="2:14" s="15" customFormat="1" ht="15.75" customHeight="1" x14ac:dyDescent="0.25">
      <c r="B416" s="16"/>
      <c r="N416" s="89"/>
    </row>
    <row r="417" spans="2:14" s="15" customFormat="1" ht="15.75" customHeight="1" x14ac:dyDescent="0.25">
      <c r="B417" s="16"/>
      <c r="N417" s="89"/>
    </row>
    <row r="418" spans="2:14" s="15" customFormat="1" ht="15.75" customHeight="1" x14ac:dyDescent="0.25">
      <c r="B418" s="16"/>
      <c r="N418" s="89"/>
    </row>
    <row r="419" spans="2:14" s="15" customFormat="1" ht="15.75" customHeight="1" x14ac:dyDescent="0.25">
      <c r="B419" s="16"/>
      <c r="N419" s="89"/>
    </row>
    <row r="420" spans="2:14" s="15" customFormat="1" ht="15.75" customHeight="1" x14ac:dyDescent="0.25">
      <c r="B420" s="16"/>
      <c r="N420" s="89"/>
    </row>
    <row r="421" spans="2:14" s="15" customFormat="1" ht="15.75" customHeight="1" x14ac:dyDescent="0.25">
      <c r="B421" s="16"/>
      <c r="N421" s="89"/>
    </row>
    <row r="422" spans="2:14" s="15" customFormat="1" ht="15.75" customHeight="1" x14ac:dyDescent="0.25">
      <c r="B422" s="16"/>
      <c r="N422" s="89"/>
    </row>
    <row r="423" spans="2:14" s="15" customFormat="1" ht="15.75" customHeight="1" x14ac:dyDescent="0.25">
      <c r="B423" s="16"/>
      <c r="N423" s="89"/>
    </row>
    <row r="424" spans="2:14" s="15" customFormat="1" ht="15.75" customHeight="1" x14ac:dyDescent="0.25">
      <c r="B424" s="16"/>
      <c r="N424" s="89"/>
    </row>
    <row r="425" spans="2:14" s="15" customFormat="1" ht="15.75" customHeight="1" x14ac:dyDescent="0.25">
      <c r="B425" s="16"/>
      <c r="N425" s="89"/>
    </row>
    <row r="426" spans="2:14" s="15" customFormat="1" ht="15.75" customHeight="1" x14ac:dyDescent="0.25">
      <c r="B426" s="16"/>
      <c r="N426" s="89"/>
    </row>
    <row r="427" spans="2:14" s="15" customFormat="1" ht="15.75" customHeight="1" x14ac:dyDescent="0.25">
      <c r="B427" s="16"/>
      <c r="N427" s="89"/>
    </row>
    <row r="428" spans="2:14" s="15" customFormat="1" ht="15.75" customHeight="1" x14ac:dyDescent="0.25">
      <c r="B428" s="16"/>
      <c r="N428" s="89"/>
    </row>
    <row r="429" spans="2:14" s="15" customFormat="1" ht="15.75" customHeight="1" x14ac:dyDescent="0.25">
      <c r="B429" s="16"/>
      <c r="N429" s="89"/>
    </row>
    <row r="430" spans="2:14" s="15" customFormat="1" ht="15.75" customHeight="1" x14ac:dyDescent="0.25">
      <c r="B430" s="16"/>
      <c r="N430" s="89"/>
    </row>
    <row r="431" spans="2:14" s="15" customFormat="1" ht="15.75" customHeight="1" x14ac:dyDescent="0.25">
      <c r="B431" s="16"/>
      <c r="N431" s="89"/>
    </row>
    <row r="432" spans="2:14" s="15" customFormat="1" ht="15.75" customHeight="1" x14ac:dyDescent="0.25">
      <c r="B432" s="16"/>
      <c r="N432" s="89"/>
    </row>
    <row r="433" spans="2:14" s="15" customFormat="1" ht="15.75" customHeight="1" x14ac:dyDescent="0.25">
      <c r="B433" s="16"/>
      <c r="N433" s="89"/>
    </row>
    <row r="434" spans="2:14" s="15" customFormat="1" ht="15.75" customHeight="1" x14ac:dyDescent="0.25">
      <c r="B434" s="16"/>
      <c r="N434" s="89"/>
    </row>
    <row r="435" spans="2:14" s="15" customFormat="1" ht="15.75" customHeight="1" x14ac:dyDescent="0.25">
      <c r="B435" s="16"/>
      <c r="N435" s="89"/>
    </row>
    <row r="436" spans="2:14" s="15" customFormat="1" ht="15.75" customHeight="1" x14ac:dyDescent="0.25">
      <c r="B436" s="16"/>
      <c r="N436" s="89"/>
    </row>
    <row r="437" spans="2:14" s="15" customFormat="1" ht="15.75" customHeight="1" x14ac:dyDescent="0.25">
      <c r="B437" s="16"/>
      <c r="N437" s="89"/>
    </row>
    <row r="438" spans="2:14" s="15" customFormat="1" ht="15.75" customHeight="1" x14ac:dyDescent="0.25">
      <c r="B438" s="16"/>
      <c r="N438" s="89"/>
    </row>
    <row r="439" spans="2:14" s="15" customFormat="1" ht="15.75" customHeight="1" x14ac:dyDescent="0.25">
      <c r="B439" s="16"/>
      <c r="N439" s="89"/>
    </row>
    <row r="440" spans="2:14" s="15" customFormat="1" ht="15.75" customHeight="1" x14ac:dyDescent="0.25">
      <c r="B440" s="16"/>
      <c r="N440" s="89"/>
    </row>
    <row r="441" spans="2:14" s="15" customFormat="1" ht="15.75" customHeight="1" x14ac:dyDescent="0.25">
      <c r="B441" s="16"/>
      <c r="N441" s="89"/>
    </row>
    <row r="442" spans="2:14" s="15" customFormat="1" ht="15.75" customHeight="1" x14ac:dyDescent="0.25">
      <c r="B442" s="16"/>
      <c r="N442" s="89"/>
    </row>
    <row r="443" spans="2:14" s="15" customFormat="1" ht="15.75" customHeight="1" x14ac:dyDescent="0.25">
      <c r="B443" s="16"/>
      <c r="N443" s="89"/>
    </row>
    <row r="444" spans="2:14" s="15" customFormat="1" ht="15.75" customHeight="1" x14ac:dyDescent="0.25">
      <c r="B444" s="16"/>
      <c r="N444" s="89"/>
    </row>
    <row r="445" spans="2:14" s="15" customFormat="1" ht="15.75" customHeight="1" x14ac:dyDescent="0.25">
      <c r="B445" s="16"/>
      <c r="N445" s="89"/>
    </row>
    <row r="446" spans="2:14" s="15" customFormat="1" ht="15.75" customHeight="1" x14ac:dyDescent="0.25">
      <c r="B446" s="16"/>
      <c r="N446" s="89"/>
    </row>
    <row r="447" spans="2:14" s="15" customFormat="1" ht="15.75" customHeight="1" x14ac:dyDescent="0.25">
      <c r="B447" s="16"/>
      <c r="N447" s="89"/>
    </row>
    <row r="448" spans="2:14" s="15" customFormat="1" ht="15.75" customHeight="1" x14ac:dyDescent="0.25">
      <c r="B448" s="16"/>
      <c r="N448" s="89"/>
    </row>
    <row r="449" spans="2:14" s="15" customFormat="1" ht="15.75" customHeight="1" x14ac:dyDescent="0.25">
      <c r="B449" s="16"/>
      <c r="N449" s="89"/>
    </row>
    <row r="450" spans="2:14" s="15" customFormat="1" ht="15.75" customHeight="1" x14ac:dyDescent="0.25">
      <c r="B450" s="16"/>
      <c r="N450" s="89"/>
    </row>
    <row r="451" spans="2:14" s="15" customFormat="1" ht="15.75" customHeight="1" x14ac:dyDescent="0.25">
      <c r="B451" s="16"/>
      <c r="N451" s="89"/>
    </row>
    <row r="452" spans="2:14" s="15" customFormat="1" ht="15.75" customHeight="1" x14ac:dyDescent="0.25">
      <c r="B452" s="16"/>
      <c r="N452" s="89"/>
    </row>
    <row r="453" spans="2:14" s="15" customFormat="1" ht="15.75" customHeight="1" x14ac:dyDescent="0.25">
      <c r="B453" s="16"/>
      <c r="N453" s="89"/>
    </row>
    <row r="454" spans="2:14" s="15" customFormat="1" ht="15.75" customHeight="1" x14ac:dyDescent="0.25">
      <c r="B454" s="16"/>
      <c r="N454" s="89"/>
    </row>
    <row r="455" spans="2:14" s="15" customFormat="1" ht="15.75" customHeight="1" x14ac:dyDescent="0.25">
      <c r="B455" s="16"/>
      <c r="N455" s="89"/>
    </row>
    <row r="456" spans="2:14" s="15" customFormat="1" ht="15.75" customHeight="1" x14ac:dyDescent="0.25">
      <c r="B456" s="16"/>
      <c r="N456" s="89"/>
    </row>
    <row r="457" spans="2:14" s="15" customFormat="1" ht="15.75" customHeight="1" x14ac:dyDescent="0.25">
      <c r="B457" s="16"/>
      <c r="N457" s="89"/>
    </row>
    <row r="458" spans="2:14" s="15" customFormat="1" ht="15.75" customHeight="1" x14ac:dyDescent="0.25">
      <c r="B458" s="16"/>
      <c r="N458" s="89"/>
    </row>
    <row r="459" spans="2:14" s="15" customFormat="1" ht="15.75" customHeight="1" x14ac:dyDescent="0.25">
      <c r="B459" s="16"/>
      <c r="N459" s="89"/>
    </row>
    <row r="460" spans="2:14" s="15" customFormat="1" ht="15.75" customHeight="1" x14ac:dyDescent="0.25">
      <c r="B460" s="16"/>
      <c r="N460" s="89"/>
    </row>
    <row r="461" spans="2:14" s="15" customFormat="1" ht="15.75" customHeight="1" x14ac:dyDescent="0.25">
      <c r="B461" s="16"/>
      <c r="N461" s="89"/>
    </row>
    <row r="462" spans="2:14" s="15" customFormat="1" ht="15.75" customHeight="1" x14ac:dyDescent="0.25">
      <c r="B462" s="16"/>
      <c r="N462" s="89"/>
    </row>
    <row r="463" spans="2:14" s="15" customFormat="1" ht="15.75" customHeight="1" x14ac:dyDescent="0.25">
      <c r="B463" s="16"/>
      <c r="N463" s="89"/>
    </row>
    <row r="464" spans="2:14" s="15" customFormat="1" ht="15.75" customHeight="1" x14ac:dyDescent="0.25">
      <c r="B464" s="16"/>
      <c r="N464" s="89"/>
    </row>
    <row r="465" spans="2:14" s="15" customFormat="1" ht="15.75" customHeight="1" x14ac:dyDescent="0.25">
      <c r="B465" s="16"/>
      <c r="N465" s="89"/>
    </row>
    <row r="466" spans="2:14" s="15" customFormat="1" ht="15.75" customHeight="1" x14ac:dyDescent="0.25">
      <c r="B466" s="16"/>
      <c r="N466" s="89"/>
    </row>
    <row r="467" spans="2:14" s="15" customFormat="1" ht="15.75" customHeight="1" x14ac:dyDescent="0.25">
      <c r="B467" s="16"/>
      <c r="N467" s="89"/>
    </row>
    <row r="468" spans="2:14" s="15" customFormat="1" ht="15.75" customHeight="1" x14ac:dyDescent="0.25">
      <c r="B468" s="16"/>
      <c r="N468" s="89"/>
    </row>
    <row r="469" spans="2:14" s="15" customFormat="1" ht="15.75" customHeight="1" x14ac:dyDescent="0.25">
      <c r="B469" s="16"/>
      <c r="N469" s="89"/>
    </row>
    <row r="470" spans="2:14" s="15" customFormat="1" ht="15.75" customHeight="1" x14ac:dyDescent="0.25">
      <c r="B470" s="16"/>
      <c r="N470" s="89"/>
    </row>
    <row r="471" spans="2:14" s="15" customFormat="1" ht="15.75" customHeight="1" x14ac:dyDescent="0.25">
      <c r="B471" s="16"/>
      <c r="N471" s="89"/>
    </row>
    <row r="472" spans="2:14" s="15" customFormat="1" ht="15.75" customHeight="1" x14ac:dyDescent="0.25">
      <c r="B472" s="16"/>
      <c r="N472" s="89"/>
    </row>
    <row r="473" spans="2:14" s="15" customFormat="1" ht="15.75" customHeight="1" x14ac:dyDescent="0.25">
      <c r="B473" s="16"/>
      <c r="N473" s="89"/>
    </row>
    <row r="474" spans="2:14" s="15" customFormat="1" ht="15.75" customHeight="1" x14ac:dyDescent="0.25">
      <c r="B474" s="16"/>
      <c r="N474" s="89"/>
    </row>
    <row r="475" spans="2:14" s="15" customFormat="1" ht="15.75" customHeight="1" x14ac:dyDescent="0.25">
      <c r="B475" s="16"/>
      <c r="N475" s="89"/>
    </row>
    <row r="476" spans="2:14" s="15" customFormat="1" ht="15.75" customHeight="1" x14ac:dyDescent="0.25">
      <c r="B476" s="16"/>
      <c r="N476" s="89"/>
    </row>
    <row r="477" spans="2:14" s="15" customFormat="1" ht="15.75" customHeight="1" x14ac:dyDescent="0.25">
      <c r="B477" s="16"/>
      <c r="N477" s="89"/>
    </row>
    <row r="478" spans="2:14" s="15" customFormat="1" ht="15.75" customHeight="1" x14ac:dyDescent="0.25">
      <c r="B478" s="16"/>
      <c r="N478" s="89"/>
    </row>
    <row r="479" spans="2:14" s="15" customFormat="1" ht="15.75" customHeight="1" x14ac:dyDescent="0.25">
      <c r="B479" s="16"/>
      <c r="N479" s="89"/>
    </row>
    <row r="480" spans="2:14" s="15" customFormat="1" ht="15.75" customHeight="1" x14ac:dyDescent="0.25">
      <c r="B480" s="16"/>
      <c r="N480" s="89"/>
    </row>
    <row r="481" spans="2:14" s="15" customFormat="1" ht="15.75" customHeight="1" x14ac:dyDescent="0.25">
      <c r="B481" s="16"/>
      <c r="N481" s="89"/>
    </row>
    <row r="482" spans="2:14" s="15" customFormat="1" ht="15.75" customHeight="1" x14ac:dyDescent="0.25">
      <c r="B482" s="16"/>
      <c r="N482" s="89"/>
    </row>
    <row r="483" spans="2:14" s="15" customFormat="1" ht="15.75" customHeight="1" x14ac:dyDescent="0.25">
      <c r="B483" s="16"/>
      <c r="N483" s="89"/>
    </row>
    <row r="484" spans="2:14" s="15" customFormat="1" ht="15.75" customHeight="1" x14ac:dyDescent="0.25">
      <c r="B484" s="16"/>
      <c r="N484" s="89"/>
    </row>
    <row r="485" spans="2:14" s="15" customFormat="1" ht="15.75" customHeight="1" x14ac:dyDescent="0.25">
      <c r="B485" s="16"/>
      <c r="N485" s="89"/>
    </row>
    <row r="486" spans="2:14" s="15" customFormat="1" ht="15.75" customHeight="1" x14ac:dyDescent="0.25">
      <c r="B486" s="16"/>
      <c r="N486" s="89"/>
    </row>
    <row r="487" spans="2:14" s="15" customFormat="1" ht="15.75" customHeight="1" x14ac:dyDescent="0.25">
      <c r="B487" s="16"/>
      <c r="N487" s="89"/>
    </row>
    <row r="488" spans="2:14" s="15" customFormat="1" ht="15.75" customHeight="1" x14ac:dyDescent="0.25">
      <c r="B488" s="16"/>
      <c r="N488" s="89"/>
    </row>
    <row r="489" spans="2:14" s="15" customFormat="1" ht="15.75" customHeight="1" x14ac:dyDescent="0.25">
      <c r="B489" s="16"/>
      <c r="N489" s="89"/>
    </row>
    <row r="490" spans="2:14" s="15" customFormat="1" ht="15.75" customHeight="1" x14ac:dyDescent="0.25">
      <c r="B490" s="16"/>
      <c r="N490" s="89"/>
    </row>
    <row r="491" spans="2:14" s="15" customFormat="1" ht="15.75" customHeight="1" x14ac:dyDescent="0.25">
      <c r="B491" s="16"/>
      <c r="N491" s="89"/>
    </row>
    <row r="492" spans="2:14" s="15" customFormat="1" ht="15.75" customHeight="1" x14ac:dyDescent="0.25">
      <c r="B492" s="16"/>
      <c r="N492" s="89"/>
    </row>
    <row r="493" spans="2:14" s="15" customFormat="1" ht="15.75" customHeight="1" x14ac:dyDescent="0.25">
      <c r="B493" s="16"/>
      <c r="N493" s="89"/>
    </row>
    <row r="494" spans="2:14" s="15" customFormat="1" ht="15.75" customHeight="1" x14ac:dyDescent="0.25">
      <c r="B494" s="16"/>
      <c r="N494" s="89"/>
    </row>
    <row r="495" spans="2:14" s="15" customFormat="1" ht="15.75" customHeight="1" x14ac:dyDescent="0.25">
      <c r="B495" s="16"/>
      <c r="N495" s="89"/>
    </row>
    <row r="496" spans="2:14" s="15" customFormat="1" ht="15.75" customHeight="1" x14ac:dyDescent="0.25">
      <c r="B496" s="16"/>
      <c r="N496" s="89"/>
    </row>
    <row r="497" spans="2:14" s="15" customFormat="1" ht="15.75" customHeight="1" x14ac:dyDescent="0.25">
      <c r="B497" s="16"/>
      <c r="N497" s="89"/>
    </row>
    <row r="498" spans="2:14" s="15" customFormat="1" ht="15.75" customHeight="1" x14ac:dyDescent="0.25">
      <c r="B498" s="16"/>
      <c r="N498" s="89"/>
    </row>
    <row r="499" spans="2:14" s="15" customFormat="1" ht="15.75" customHeight="1" x14ac:dyDescent="0.25">
      <c r="B499" s="16"/>
      <c r="N499" s="89"/>
    </row>
    <row r="500" spans="2:14" s="15" customFormat="1" ht="15.75" customHeight="1" x14ac:dyDescent="0.25">
      <c r="B500" s="16"/>
      <c r="N500" s="89"/>
    </row>
    <row r="501" spans="2:14" s="15" customFormat="1" ht="15.75" customHeight="1" x14ac:dyDescent="0.25">
      <c r="B501" s="16"/>
      <c r="N501" s="89"/>
    </row>
    <row r="502" spans="2:14" s="15" customFormat="1" ht="15.75" customHeight="1" x14ac:dyDescent="0.25">
      <c r="B502" s="16"/>
      <c r="N502" s="89"/>
    </row>
    <row r="503" spans="2:14" s="15" customFormat="1" ht="15.75" customHeight="1" x14ac:dyDescent="0.25">
      <c r="B503" s="16"/>
      <c r="N503" s="89"/>
    </row>
    <row r="504" spans="2:14" s="15" customFormat="1" ht="15.75" customHeight="1" x14ac:dyDescent="0.25">
      <c r="B504" s="16"/>
      <c r="N504" s="89"/>
    </row>
    <row r="505" spans="2:14" s="15" customFormat="1" ht="15.75" customHeight="1" x14ac:dyDescent="0.25">
      <c r="B505" s="16"/>
      <c r="N505" s="89"/>
    </row>
    <row r="506" spans="2:14" s="15" customFormat="1" ht="15.75" customHeight="1" x14ac:dyDescent="0.25">
      <c r="B506" s="16"/>
      <c r="N506" s="89"/>
    </row>
    <row r="507" spans="2:14" s="15" customFormat="1" ht="15.75" customHeight="1" x14ac:dyDescent="0.25">
      <c r="B507" s="16"/>
      <c r="N507" s="89"/>
    </row>
    <row r="508" spans="2:14" s="15" customFormat="1" ht="15.75" customHeight="1" x14ac:dyDescent="0.25">
      <c r="B508" s="16"/>
      <c r="N508" s="89"/>
    </row>
    <row r="509" spans="2:14" s="15" customFormat="1" ht="15.75" customHeight="1" x14ac:dyDescent="0.25">
      <c r="B509" s="16"/>
      <c r="N509" s="89"/>
    </row>
    <row r="510" spans="2:14" s="15" customFormat="1" ht="15.75" customHeight="1" x14ac:dyDescent="0.25">
      <c r="B510" s="16"/>
      <c r="N510" s="89"/>
    </row>
    <row r="511" spans="2:14" s="15" customFormat="1" ht="15.75" customHeight="1" x14ac:dyDescent="0.25">
      <c r="B511" s="16"/>
      <c r="N511" s="89"/>
    </row>
    <row r="512" spans="2:14" s="15" customFormat="1" ht="15.75" customHeight="1" x14ac:dyDescent="0.25">
      <c r="B512" s="16"/>
      <c r="N512" s="89"/>
    </row>
    <row r="513" spans="2:14" s="15" customFormat="1" ht="15.75" customHeight="1" x14ac:dyDescent="0.25">
      <c r="B513" s="16"/>
      <c r="N513" s="89"/>
    </row>
    <row r="514" spans="2:14" s="15" customFormat="1" ht="15.75" customHeight="1" x14ac:dyDescent="0.25">
      <c r="B514" s="16"/>
      <c r="N514" s="89"/>
    </row>
    <row r="515" spans="2:14" s="15" customFormat="1" ht="15.75" customHeight="1" x14ac:dyDescent="0.25">
      <c r="B515" s="16"/>
      <c r="G515"/>
      <c r="H515"/>
      <c r="I515"/>
      <c r="J515"/>
      <c r="K515"/>
      <c r="L515"/>
      <c r="M515"/>
      <c r="N515" s="91"/>
    </row>
    <row r="516" spans="2:14" s="15" customFormat="1" ht="15.75" customHeight="1" x14ac:dyDescent="0.25">
      <c r="B516" s="16"/>
      <c r="G516"/>
      <c r="H516"/>
      <c r="I516"/>
      <c r="J516"/>
      <c r="K516"/>
      <c r="L516"/>
      <c r="M516"/>
      <c r="N516" s="91"/>
    </row>
    <row r="517" spans="2:14" s="15" customFormat="1" ht="15.75" customHeight="1" x14ac:dyDescent="0.25">
      <c r="B517" s="16"/>
      <c r="G517"/>
      <c r="H517"/>
      <c r="I517"/>
      <c r="J517"/>
      <c r="K517"/>
      <c r="L517"/>
      <c r="M517"/>
      <c r="N517" s="91"/>
    </row>
    <row r="518" spans="2:14" s="15" customFormat="1" ht="15.75" customHeight="1" x14ac:dyDescent="0.25">
      <c r="B518" s="16"/>
      <c r="G518"/>
      <c r="H518"/>
      <c r="I518"/>
      <c r="J518"/>
      <c r="K518"/>
      <c r="L518"/>
      <c r="M518"/>
      <c r="N518" s="91"/>
    </row>
    <row r="519" spans="2:14" s="15" customFormat="1" ht="15.75" customHeight="1" x14ac:dyDescent="0.25">
      <c r="B519" s="16"/>
      <c r="G519"/>
      <c r="H519"/>
      <c r="I519"/>
      <c r="J519"/>
      <c r="K519"/>
      <c r="L519"/>
      <c r="M519"/>
      <c r="N519" s="91"/>
    </row>
    <row r="520" spans="2:14" s="15" customFormat="1" ht="15.75" customHeight="1" x14ac:dyDescent="0.25">
      <c r="B520" s="16"/>
      <c r="G520"/>
      <c r="H520"/>
      <c r="I520"/>
      <c r="J520"/>
      <c r="K520"/>
      <c r="L520"/>
      <c r="M520"/>
      <c r="N520" s="91"/>
    </row>
    <row r="521" spans="2:14" s="15" customFormat="1" ht="15.75" customHeight="1" x14ac:dyDescent="0.25">
      <c r="B521" s="16"/>
      <c r="G521"/>
      <c r="H521"/>
      <c r="I521"/>
      <c r="J521"/>
      <c r="K521"/>
      <c r="L521"/>
      <c r="M521"/>
      <c r="N521" s="91"/>
    </row>
    <row r="522" spans="2:14" s="15" customFormat="1" ht="15.75" customHeight="1" x14ac:dyDescent="0.25">
      <c r="B522" s="16"/>
      <c r="G522"/>
      <c r="H522"/>
      <c r="I522"/>
      <c r="J522"/>
      <c r="K522"/>
      <c r="L522"/>
      <c r="M522"/>
      <c r="N522" s="91"/>
    </row>
    <row r="523" spans="2:14" s="15" customFormat="1" ht="15.75" customHeight="1" x14ac:dyDescent="0.25">
      <c r="B523" s="1"/>
      <c r="C523"/>
      <c r="D523"/>
      <c r="E523"/>
      <c r="F523"/>
      <c r="G523"/>
      <c r="H523"/>
      <c r="I523"/>
      <c r="J523"/>
      <c r="K523"/>
      <c r="L523"/>
      <c r="M523"/>
      <c r="N523" s="91"/>
    </row>
    <row r="524" spans="2:14" s="15" customFormat="1" ht="15.75" customHeight="1" x14ac:dyDescent="0.25">
      <c r="B524" s="1"/>
      <c r="C524"/>
      <c r="D524"/>
      <c r="E524"/>
      <c r="F524"/>
      <c r="G524"/>
      <c r="H524"/>
      <c r="I524"/>
      <c r="J524"/>
      <c r="K524"/>
      <c r="L524"/>
      <c r="M524"/>
      <c r="N524" s="91"/>
    </row>
    <row r="525" spans="2:14" s="15" customFormat="1" ht="15.75" customHeight="1" x14ac:dyDescent="0.25">
      <c r="B525" s="1"/>
      <c r="C525"/>
      <c r="D525"/>
      <c r="E525"/>
      <c r="F525"/>
      <c r="G525"/>
      <c r="H525"/>
      <c r="I525"/>
      <c r="J525"/>
      <c r="K525"/>
      <c r="L525"/>
      <c r="M525"/>
      <c r="N525" s="91"/>
    </row>
    <row r="526" spans="2:14" s="15" customFormat="1" ht="15.75" customHeight="1" x14ac:dyDescent="0.25">
      <c r="B526" s="1"/>
      <c r="C526"/>
      <c r="D526"/>
      <c r="E526"/>
      <c r="F526"/>
      <c r="G526"/>
      <c r="H526"/>
      <c r="I526"/>
      <c r="J526"/>
      <c r="K526"/>
      <c r="L526"/>
      <c r="M526"/>
      <c r="N526" s="91"/>
    </row>
    <row r="527" spans="2:14" s="15" customFormat="1" ht="15.75" customHeight="1" x14ac:dyDescent="0.25">
      <c r="B527" s="1"/>
      <c r="C527"/>
      <c r="D527"/>
      <c r="E527"/>
      <c r="F527"/>
      <c r="G527"/>
      <c r="H527"/>
      <c r="I527"/>
      <c r="J527"/>
      <c r="K527"/>
      <c r="L527"/>
      <c r="M527"/>
      <c r="N527" s="91"/>
    </row>
    <row r="528" spans="2:14" s="15" customFormat="1" ht="15.75" customHeight="1" x14ac:dyDescent="0.25">
      <c r="B528" s="1"/>
      <c r="C528"/>
      <c r="D528"/>
      <c r="E528"/>
      <c r="F528"/>
      <c r="G528"/>
      <c r="H528"/>
      <c r="I528"/>
      <c r="J528"/>
      <c r="K528"/>
      <c r="L528"/>
      <c r="M528"/>
      <c r="N528" s="91"/>
    </row>
    <row r="529" spans="2:14" s="15" customFormat="1" ht="15.75" customHeight="1" x14ac:dyDescent="0.25">
      <c r="B529" s="1"/>
      <c r="C529"/>
      <c r="D529"/>
      <c r="E529"/>
      <c r="F529"/>
      <c r="G529"/>
      <c r="H529"/>
      <c r="I529"/>
      <c r="J529"/>
      <c r="K529"/>
      <c r="L529"/>
      <c r="M529"/>
      <c r="N529" s="91"/>
    </row>
    <row r="530" spans="2:14" s="15" customFormat="1" ht="15.75" customHeight="1" x14ac:dyDescent="0.25">
      <c r="B530" s="1"/>
      <c r="C530"/>
      <c r="D530"/>
      <c r="E530"/>
      <c r="F530"/>
      <c r="G530"/>
      <c r="H530"/>
      <c r="I530"/>
      <c r="J530"/>
      <c r="K530"/>
      <c r="L530"/>
      <c r="M530"/>
      <c r="N530" s="91"/>
    </row>
    <row r="531" spans="2:14" s="15" customFormat="1" ht="15.75" customHeight="1" x14ac:dyDescent="0.25">
      <c r="B531" s="1"/>
      <c r="C531"/>
      <c r="D531"/>
      <c r="E531"/>
      <c r="F531"/>
      <c r="G531"/>
      <c r="H531"/>
      <c r="I531"/>
      <c r="J531"/>
      <c r="K531"/>
      <c r="L531"/>
      <c r="M531"/>
      <c r="N531" s="91"/>
    </row>
    <row r="532" spans="2:14" ht="15.75" customHeight="1" x14ac:dyDescent="0.25">
      <c r="B532" s="1"/>
    </row>
    <row r="533" spans="2:14" ht="15.75" customHeight="1" x14ac:dyDescent="0.25">
      <c r="B533" s="1"/>
    </row>
    <row r="534" spans="2:14" ht="15.75" customHeight="1" x14ac:dyDescent="0.25">
      <c r="B534" s="1"/>
    </row>
    <row r="535" spans="2:14" ht="15.75" customHeight="1" x14ac:dyDescent="0.25">
      <c r="B535" s="1"/>
    </row>
    <row r="536" spans="2:14" ht="15.75" customHeight="1" x14ac:dyDescent="0.25">
      <c r="B536" s="1"/>
    </row>
    <row r="537" spans="2:14" ht="15.75" customHeight="1" x14ac:dyDescent="0.25">
      <c r="B537" s="1"/>
    </row>
    <row r="538" spans="2:14" ht="15.75" customHeight="1" x14ac:dyDescent="0.25">
      <c r="B538" s="1"/>
    </row>
    <row r="539" spans="2:14" ht="15.75" customHeight="1" x14ac:dyDescent="0.25">
      <c r="B539" s="1"/>
    </row>
    <row r="540" spans="2:14" ht="15.75" customHeight="1" x14ac:dyDescent="0.25">
      <c r="B540" s="1"/>
    </row>
    <row r="541" spans="2:14" ht="15.75" customHeight="1" x14ac:dyDescent="0.25">
      <c r="B541" s="1"/>
    </row>
    <row r="542" spans="2:14" ht="15.75" customHeight="1" x14ac:dyDescent="0.25">
      <c r="B542" s="1"/>
    </row>
    <row r="543" spans="2:14" ht="15.75" customHeight="1" x14ac:dyDescent="0.25">
      <c r="B543" s="1"/>
    </row>
    <row r="544" spans="2:14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  <row r="981" spans="2:2" ht="15.75" customHeight="1" x14ac:dyDescent="0.25">
      <c r="B981" s="1"/>
    </row>
    <row r="982" spans="2:2" ht="15.75" customHeight="1" x14ac:dyDescent="0.25">
      <c r="B982" s="1"/>
    </row>
    <row r="983" spans="2:2" ht="15.75" customHeight="1" x14ac:dyDescent="0.25">
      <c r="B983" s="1"/>
    </row>
    <row r="984" spans="2:2" ht="15.75" customHeight="1" x14ac:dyDescent="0.25">
      <c r="B984" s="1"/>
    </row>
    <row r="985" spans="2:2" ht="15.75" customHeight="1" x14ac:dyDescent="0.25">
      <c r="B985" s="1"/>
    </row>
    <row r="986" spans="2:2" ht="15.75" customHeight="1" x14ac:dyDescent="0.25">
      <c r="B986" s="1"/>
    </row>
    <row r="987" spans="2:2" ht="15.75" customHeight="1" x14ac:dyDescent="0.25">
      <c r="B987" s="1"/>
    </row>
    <row r="988" spans="2:2" ht="15.75" customHeight="1" x14ac:dyDescent="0.25">
      <c r="B988" s="1"/>
    </row>
    <row r="989" spans="2:2" ht="15.75" customHeight="1" x14ac:dyDescent="0.25">
      <c r="B989" s="1"/>
    </row>
    <row r="990" spans="2:2" ht="15.75" customHeight="1" x14ac:dyDescent="0.25">
      <c r="B990" s="1"/>
    </row>
    <row r="991" spans="2:2" ht="15.75" customHeight="1" x14ac:dyDescent="0.25">
      <c r="B991" s="1"/>
    </row>
    <row r="992" spans="2: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1:N11"/>
    <mergeCell ref="B1:N1"/>
  </mergeCells>
  <phoneticPr fontId="16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4F9F-C100-4F31-9E8C-8186FAEBAEF4}">
  <dimension ref="B1:Q90"/>
  <sheetViews>
    <sheetView topLeftCell="A11" zoomScale="110" zoomScaleNormal="110" workbookViewId="0">
      <selection activeCell="A19" sqref="A19"/>
    </sheetView>
  </sheetViews>
  <sheetFormatPr baseColWidth="10" defaultRowHeight="15" x14ac:dyDescent="0.25"/>
  <cols>
    <col min="2" max="2" width="16.28515625" customWidth="1"/>
    <col min="6" max="6" width="12.7109375" customWidth="1"/>
    <col min="8" max="8" width="14.85546875" customWidth="1"/>
  </cols>
  <sheetData>
    <row r="1" spans="2:17" ht="15.75" thickBot="1" x14ac:dyDescent="0.3"/>
    <row r="2" spans="2:17" ht="18.75" thickBot="1" x14ac:dyDescent="0.3">
      <c r="B2" s="178" t="s">
        <v>114</v>
      </c>
      <c r="C2" s="179"/>
      <c r="D2" s="179"/>
      <c r="E2" s="179"/>
      <c r="F2" s="179"/>
      <c r="G2" s="179"/>
      <c r="H2" s="179"/>
      <c r="I2" s="179"/>
      <c r="J2" s="180"/>
    </row>
    <row r="3" spans="2:17" ht="17.25" thickBot="1" x14ac:dyDescent="0.35">
      <c r="B3" s="175" t="s">
        <v>90</v>
      </c>
      <c r="C3" s="176"/>
      <c r="D3" s="176"/>
      <c r="E3" s="176"/>
      <c r="F3" s="176"/>
      <c r="G3" s="176"/>
      <c r="H3" s="176"/>
      <c r="I3" s="176"/>
      <c r="J3" s="177"/>
    </row>
    <row r="4" spans="2:17" ht="17.25" thickBot="1" x14ac:dyDescent="0.35">
      <c r="B4" s="80" t="s">
        <v>88</v>
      </c>
      <c r="C4" s="80" t="s">
        <v>115</v>
      </c>
      <c r="D4" s="80" t="s">
        <v>113</v>
      </c>
      <c r="E4" s="80" t="s">
        <v>87</v>
      </c>
      <c r="F4" s="80"/>
      <c r="G4" s="80"/>
      <c r="H4" s="80"/>
      <c r="I4" s="80" t="s">
        <v>116</v>
      </c>
      <c r="J4" s="81" t="s">
        <v>117</v>
      </c>
    </row>
    <row r="5" spans="2:17" ht="16.5" x14ac:dyDescent="0.3">
      <c r="B5" s="7" t="s">
        <v>51</v>
      </c>
      <c r="C5" s="76">
        <v>6</v>
      </c>
      <c r="D5" s="76">
        <v>6</v>
      </c>
      <c r="E5" s="76">
        <v>5</v>
      </c>
      <c r="F5" s="79"/>
      <c r="G5" s="79"/>
      <c r="H5" s="79"/>
      <c r="I5" s="79">
        <f t="shared" ref="I5:I10" si="0">SUM(C5:E5)</f>
        <v>17</v>
      </c>
      <c r="J5" s="183">
        <f>SUM(I5:I10)</f>
        <v>51</v>
      </c>
    </row>
    <row r="6" spans="2:17" ht="16.5" x14ac:dyDescent="0.3">
      <c r="B6" s="7" t="s">
        <v>54</v>
      </c>
      <c r="C6" s="76">
        <v>0</v>
      </c>
      <c r="D6" s="76">
        <f>Venta!H34</f>
        <v>1</v>
      </c>
      <c r="E6" s="76">
        <v>0</v>
      </c>
      <c r="F6" s="79"/>
      <c r="G6" s="79"/>
      <c r="H6" s="79"/>
      <c r="I6" s="79">
        <f t="shared" si="0"/>
        <v>1</v>
      </c>
      <c r="J6" s="184"/>
    </row>
    <row r="7" spans="2:17" ht="16.5" x14ac:dyDescent="0.3">
      <c r="B7" s="7" t="s">
        <v>55</v>
      </c>
      <c r="C7" s="76">
        <f>Venta!H10</f>
        <v>1</v>
      </c>
      <c r="D7" s="76">
        <v>0</v>
      </c>
      <c r="E7" s="76">
        <v>2</v>
      </c>
      <c r="F7" s="79"/>
      <c r="G7" s="79"/>
      <c r="H7" s="79"/>
      <c r="I7" s="79">
        <f t="shared" si="0"/>
        <v>3</v>
      </c>
      <c r="J7" s="184"/>
    </row>
    <row r="8" spans="2:17" ht="16.5" x14ac:dyDescent="0.3">
      <c r="B8" s="121" t="s">
        <v>50</v>
      </c>
      <c r="C8" s="76">
        <v>13</v>
      </c>
      <c r="D8" s="76">
        <v>4</v>
      </c>
      <c r="E8" s="76">
        <v>3</v>
      </c>
      <c r="F8" s="79"/>
      <c r="G8" s="79"/>
      <c r="H8" s="79"/>
      <c r="I8" s="79">
        <f t="shared" si="0"/>
        <v>20</v>
      </c>
      <c r="J8" s="184"/>
      <c r="K8" s="181" t="s">
        <v>126</v>
      </c>
      <c r="L8" s="182"/>
      <c r="M8" s="182"/>
      <c r="N8" s="182"/>
      <c r="O8" s="182"/>
      <c r="P8" s="182"/>
      <c r="Q8" s="182"/>
    </row>
    <row r="9" spans="2:17" ht="16.5" x14ac:dyDescent="0.3">
      <c r="B9" s="78" t="s">
        <v>53</v>
      </c>
      <c r="C9" s="77">
        <f>Venta!H38</f>
        <v>5</v>
      </c>
      <c r="D9" s="76">
        <v>1</v>
      </c>
      <c r="E9" s="76"/>
      <c r="F9" s="79"/>
      <c r="G9" s="79"/>
      <c r="H9" s="79"/>
      <c r="I9" s="79">
        <f t="shared" si="0"/>
        <v>6</v>
      </c>
      <c r="J9" s="184"/>
      <c r="K9" s="181"/>
      <c r="L9" s="182"/>
      <c r="M9" s="182"/>
      <c r="N9" s="182"/>
      <c r="O9" s="182"/>
      <c r="P9" s="182"/>
      <c r="Q9" s="182"/>
    </row>
    <row r="10" spans="2:17" ht="17.25" thickBot="1" x14ac:dyDescent="0.35">
      <c r="B10" s="78" t="s">
        <v>52</v>
      </c>
      <c r="C10" s="77">
        <v>3</v>
      </c>
      <c r="D10" s="76"/>
      <c r="E10" s="76">
        <v>1</v>
      </c>
      <c r="F10" s="79"/>
      <c r="G10" s="79"/>
      <c r="H10" s="79"/>
      <c r="I10" s="79">
        <f t="shared" si="0"/>
        <v>4</v>
      </c>
      <c r="J10" s="185"/>
      <c r="K10" s="181"/>
      <c r="L10" s="182"/>
      <c r="M10" s="182"/>
      <c r="N10" s="182"/>
      <c r="O10" s="182"/>
      <c r="P10" s="182"/>
      <c r="Q10" s="182"/>
    </row>
    <row r="11" spans="2:17" ht="17.25" thickBot="1" x14ac:dyDescent="0.35">
      <c r="B11" s="176" t="s">
        <v>91</v>
      </c>
      <c r="C11" s="176"/>
      <c r="D11" s="176"/>
      <c r="E11" s="176"/>
      <c r="F11" s="176"/>
      <c r="G11" s="176"/>
      <c r="H11" s="176"/>
      <c r="I11" s="176"/>
      <c r="J11" s="177"/>
    </row>
    <row r="12" spans="2:17" ht="17.25" thickBot="1" x14ac:dyDescent="0.35">
      <c r="B12" s="80" t="s">
        <v>88</v>
      </c>
      <c r="C12" s="80" t="s">
        <v>115</v>
      </c>
      <c r="D12" s="80" t="s">
        <v>113</v>
      </c>
      <c r="E12" s="80" t="s">
        <v>87</v>
      </c>
      <c r="F12" s="80"/>
      <c r="G12" s="80"/>
      <c r="H12" s="80"/>
      <c r="I12" s="80" t="s">
        <v>116</v>
      </c>
      <c r="J12" s="81" t="s">
        <v>117</v>
      </c>
    </row>
    <row r="13" spans="2:17" ht="16.5" x14ac:dyDescent="0.3">
      <c r="B13" s="7" t="s">
        <v>51</v>
      </c>
      <c r="C13" s="76"/>
      <c r="D13" s="76"/>
      <c r="E13" s="76"/>
      <c r="F13" s="79"/>
      <c r="G13" s="79"/>
      <c r="H13" s="79"/>
      <c r="I13" s="79">
        <f>SUM(C13:E13)</f>
        <v>0</v>
      </c>
      <c r="J13" s="183">
        <f>SUM(I13:I18)</f>
        <v>42</v>
      </c>
    </row>
    <row r="14" spans="2:17" ht="16.5" x14ac:dyDescent="0.3">
      <c r="B14" s="7" t="s">
        <v>54</v>
      </c>
      <c r="C14" s="76">
        <v>2</v>
      </c>
      <c r="D14" s="76">
        <v>3</v>
      </c>
      <c r="E14" s="76">
        <v>2</v>
      </c>
      <c r="F14" s="79"/>
      <c r="G14" s="79"/>
      <c r="H14" s="79"/>
      <c r="I14" s="79">
        <f t="shared" ref="I14:I18" si="1">SUM(C14:E14)</f>
        <v>7</v>
      </c>
      <c r="J14" s="184"/>
    </row>
    <row r="15" spans="2:17" ht="16.5" x14ac:dyDescent="0.3">
      <c r="B15" s="7" t="s">
        <v>55</v>
      </c>
      <c r="C15" s="76">
        <v>2</v>
      </c>
      <c r="D15" s="76">
        <v>3</v>
      </c>
      <c r="E15" s="76">
        <v>6</v>
      </c>
      <c r="F15" s="79"/>
      <c r="G15" s="79"/>
      <c r="H15" s="79"/>
      <c r="I15" s="79">
        <f t="shared" si="1"/>
        <v>11</v>
      </c>
      <c r="J15" s="184"/>
    </row>
    <row r="16" spans="2:17" ht="16.5" x14ac:dyDescent="0.3">
      <c r="B16" s="121" t="s">
        <v>50</v>
      </c>
      <c r="C16" s="76">
        <v>1</v>
      </c>
      <c r="D16" s="76"/>
      <c r="E16" s="76">
        <v>1</v>
      </c>
      <c r="F16" s="79"/>
      <c r="G16" s="79"/>
      <c r="H16" s="79"/>
      <c r="I16" s="79">
        <f t="shared" si="1"/>
        <v>2</v>
      </c>
      <c r="J16" s="184"/>
    </row>
    <row r="17" spans="2:14" ht="16.5" x14ac:dyDescent="0.3">
      <c r="B17" s="78" t="s">
        <v>53</v>
      </c>
      <c r="C17" s="77">
        <v>3</v>
      </c>
      <c r="D17" s="76">
        <v>2</v>
      </c>
      <c r="E17" s="76">
        <v>1</v>
      </c>
      <c r="F17" s="79"/>
      <c r="G17" s="79"/>
      <c r="H17" s="79"/>
      <c r="I17" s="79">
        <f t="shared" si="1"/>
        <v>6</v>
      </c>
      <c r="J17" s="184"/>
    </row>
    <row r="18" spans="2:14" ht="17.25" thickBot="1" x14ac:dyDescent="0.35">
      <c r="B18" s="78" t="s">
        <v>52</v>
      </c>
      <c r="C18" s="77">
        <v>2</v>
      </c>
      <c r="D18" s="76">
        <v>8</v>
      </c>
      <c r="E18" s="76">
        <v>6</v>
      </c>
      <c r="F18" s="79"/>
      <c r="G18" s="79"/>
      <c r="H18" s="79"/>
      <c r="I18" s="79">
        <f t="shared" si="1"/>
        <v>16</v>
      </c>
      <c r="J18" s="185"/>
      <c r="N18" s="75"/>
    </row>
    <row r="19" spans="2:14" ht="17.25" thickBot="1" x14ac:dyDescent="0.35">
      <c r="B19" s="176" t="s">
        <v>118</v>
      </c>
      <c r="C19" s="176"/>
      <c r="D19" s="176"/>
      <c r="E19" s="176"/>
      <c r="F19" s="199"/>
      <c r="G19" s="199"/>
      <c r="H19" s="176"/>
      <c r="I19" s="176"/>
      <c r="J19" s="177"/>
      <c r="N19" s="75"/>
    </row>
    <row r="20" spans="2:14" ht="17.25" thickBot="1" x14ac:dyDescent="0.35">
      <c r="B20" s="110" t="s">
        <v>88</v>
      </c>
      <c r="C20" s="111" t="s">
        <v>115</v>
      </c>
      <c r="D20" s="111" t="s">
        <v>113</v>
      </c>
      <c r="E20" s="195" t="s">
        <v>87</v>
      </c>
      <c r="F20" s="200"/>
      <c r="G20" s="200"/>
      <c r="H20" s="196" t="s">
        <v>136</v>
      </c>
      <c r="I20" s="122" t="s">
        <v>129</v>
      </c>
      <c r="J20" s="122" t="s">
        <v>117</v>
      </c>
    </row>
    <row r="21" spans="2:14" ht="16.5" x14ac:dyDescent="0.3">
      <c r="B21" s="82" t="s">
        <v>51</v>
      </c>
      <c r="C21" s="76">
        <v>5</v>
      </c>
      <c r="D21" s="76">
        <v>6</v>
      </c>
      <c r="E21" s="79">
        <v>3</v>
      </c>
      <c r="F21" s="124"/>
      <c r="G21" s="124"/>
      <c r="H21" s="197">
        <f>SUM(C21:E21)</f>
        <v>14</v>
      </c>
      <c r="I21" s="124"/>
      <c r="J21" s="126"/>
    </row>
    <row r="22" spans="2:14" ht="16.5" x14ac:dyDescent="0.3">
      <c r="B22" s="82" t="s">
        <v>54</v>
      </c>
      <c r="C22" s="76">
        <v>2</v>
      </c>
      <c r="D22" s="76">
        <v>3</v>
      </c>
      <c r="E22" s="79">
        <v>1</v>
      </c>
      <c r="F22" s="124"/>
      <c r="G22" s="124"/>
      <c r="H22" s="198">
        <f ca="1">SUM(C22:K22)</f>
        <v>9</v>
      </c>
      <c r="I22" s="124">
        <v>3</v>
      </c>
      <c r="J22" s="127"/>
    </row>
    <row r="23" spans="2:14" ht="16.5" x14ac:dyDescent="0.3">
      <c r="B23" s="82" t="s">
        <v>55</v>
      </c>
      <c r="C23" s="76"/>
      <c r="D23" s="76">
        <v>3</v>
      </c>
      <c r="E23" s="79">
        <v>1</v>
      </c>
      <c r="F23" s="124"/>
      <c r="G23" s="124"/>
      <c r="H23" s="198">
        <f ca="1">SUM(C23:K23)</f>
        <v>5</v>
      </c>
      <c r="I23" s="124">
        <v>1</v>
      </c>
      <c r="J23" s="126"/>
    </row>
    <row r="24" spans="2:14" ht="16.5" x14ac:dyDescent="0.3">
      <c r="B24" s="82" t="s">
        <v>50</v>
      </c>
      <c r="C24" s="76"/>
      <c r="D24" s="76"/>
      <c r="E24" s="79">
        <v>1</v>
      </c>
      <c r="F24" s="124"/>
      <c r="G24" s="124"/>
      <c r="H24" s="198">
        <f ca="1">SUM(C24:K24)</f>
        <v>3</v>
      </c>
      <c r="I24" s="124">
        <v>2</v>
      </c>
      <c r="J24" s="127"/>
    </row>
    <row r="25" spans="2:14" ht="16.5" x14ac:dyDescent="0.3">
      <c r="B25" s="83" t="s">
        <v>53</v>
      </c>
      <c r="C25" s="76">
        <v>3</v>
      </c>
      <c r="D25" s="76">
        <v>1</v>
      </c>
      <c r="E25" s="79"/>
      <c r="F25" s="124"/>
      <c r="G25" s="124"/>
      <c r="H25" s="198">
        <f ca="1">SUM(C25:K25)</f>
        <v>4</v>
      </c>
      <c r="I25" s="124"/>
      <c r="J25" s="127"/>
    </row>
    <row r="26" spans="2:14" ht="17.25" thickBot="1" x14ac:dyDescent="0.35">
      <c r="B26" s="84" t="s">
        <v>52</v>
      </c>
      <c r="C26" s="85">
        <v>6</v>
      </c>
      <c r="D26" s="86"/>
      <c r="E26" s="87"/>
      <c r="F26" s="124"/>
      <c r="G26" s="124"/>
      <c r="H26" s="198">
        <f ca="1">SUM(C26:K26)</f>
        <v>6</v>
      </c>
      <c r="I26" s="124"/>
      <c r="J26" s="127"/>
    </row>
    <row r="27" spans="2:14" ht="17.25" thickBot="1" x14ac:dyDescent="0.35">
      <c r="B27" s="123" t="s">
        <v>117</v>
      </c>
      <c r="C27" s="126">
        <f>SUM(C21:C26)</f>
        <v>16</v>
      </c>
      <c r="D27" s="126">
        <f t="shared" ref="D27:I27" si="2">SUM(D21:D26)</f>
        <v>13</v>
      </c>
      <c r="E27" s="126">
        <f t="shared" si="2"/>
        <v>6</v>
      </c>
      <c r="F27" s="126"/>
      <c r="G27" s="126"/>
      <c r="H27" s="126">
        <f t="shared" ca="1" si="2"/>
        <v>16</v>
      </c>
      <c r="I27" s="126">
        <f t="shared" si="2"/>
        <v>6</v>
      </c>
      <c r="J27" s="125">
        <f ca="1">SUM(I27+H27)</f>
        <v>41</v>
      </c>
    </row>
    <row r="28" spans="2:14" ht="17.25" thickBot="1" x14ac:dyDescent="0.35">
      <c r="B28" s="176" t="s">
        <v>119</v>
      </c>
      <c r="C28" s="176"/>
      <c r="D28" s="176"/>
      <c r="E28" s="176"/>
      <c r="F28" s="176"/>
      <c r="G28" s="176"/>
      <c r="H28" s="176"/>
      <c r="I28" s="176"/>
      <c r="J28" s="177"/>
    </row>
    <row r="29" spans="2:14" ht="17.25" thickBot="1" x14ac:dyDescent="0.35">
      <c r="B29" s="110" t="s">
        <v>88</v>
      </c>
      <c r="C29" s="111" t="s">
        <v>115</v>
      </c>
      <c r="D29" s="111" t="s">
        <v>113</v>
      </c>
      <c r="E29" s="111" t="s">
        <v>87</v>
      </c>
      <c r="F29" s="148" t="s">
        <v>173</v>
      </c>
      <c r="G29" s="148" t="s">
        <v>174</v>
      </c>
      <c r="H29" s="122" t="s">
        <v>175</v>
      </c>
      <c r="I29" s="122" t="s">
        <v>116</v>
      </c>
      <c r="J29" s="122" t="s">
        <v>117</v>
      </c>
    </row>
    <row r="30" spans="2:14" ht="16.5" x14ac:dyDescent="0.3">
      <c r="B30" s="82" t="s">
        <v>51</v>
      </c>
      <c r="C30" s="76">
        <v>2</v>
      </c>
      <c r="D30" s="76"/>
      <c r="E30" s="79">
        <v>2</v>
      </c>
      <c r="F30" s="124"/>
      <c r="G30" s="124"/>
      <c r="H30" s="125"/>
      <c r="I30" s="124">
        <f>SUM(C30:G30)</f>
        <v>4</v>
      </c>
      <c r="J30" s="126"/>
    </row>
    <row r="31" spans="2:14" ht="16.5" x14ac:dyDescent="0.3">
      <c r="B31" s="82" t="s">
        <v>54</v>
      </c>
      <c r="C31" s="76"/>
      <c r="D31" s="76"/>
      <c r="E31" s="79"/>
      <c r="F31" s="124"/>
      <c r="G31" s="124"/>
      <c r="H31" s="124">
        <v>1</v>
      </c>
      <c r="I31" s="124">
        <f>SUM(C31:G31)</f>
        <v>0</v>
      </c>
      <c r="J31" s="127"/>
    </row>
    <row r="32" spans="2:14" ht="16.5" x14ac:dyDescent="0.3">
      <c r="B32" s="82" t="s">
        <v>55</v>
      </c>
      <c r="C32" s="76"/>
      <c r="D32" s="76"/>
      <c r="E32" s="79"/>
      <c r="F32" s="124"/>
      <c r="G32" s="124"/>
      <c r="H32" s="124">
        <v>2</v>
      </c>
      <c r="I32" s="124">
        <f>SUM(C32:G32)</f>
        <v>0</v>
      </c>
      <c r="J32" s="126"/>
    </row>
    <row r="33" spans="2:10" ht="16.5" x14ac:dyDescent="0.3">
      <c r="B33" s="82" t="s">
        <v>50</v>
      </c>
      <c r="C33" s="76">
        <v>3</v>
      </c>
      <c r="D33" s="76"/>
      <c r="E33" s="79"/>
      <c r="F33" s="124"/>
      <c r="G33" s="124"/>
      <c r="H33" s="124">
        <v>2</v>
      </c>
      <c r="I33" s="124">
        <f>SUM(C33:G33)</f>
        <v>3</v>
      </c>
      <c r="J33" s="127"/>
    </row>
    <row r="34" spans="2:10" ht="16.5" x14ac:dyDescent="0.3">
      <c r="B34" s="83" t="s">
        <v>53</v>
      </c>
      <c r="C34" s="76"/>
      <c r="D34" s="76">
        <v>2</v>
      </c>
      <c r="E34" s="79"/>
      <c r="F34" s="124"/>
      <c r="G34" s="124"/>
      <c r="H34" s="124">
        <v>1</v>
      </c>
      <c r="I34" s="124">
        <f>SUM(C34:G34)</f>
        <v>2</v>
      </c>
      <c r="J34" s="127"/>
    </row>
    <row r="35" spans="2:10" ht="17.25" thickBot="1" x14ac:dyDescent="0.35">
      <c r="B35" s="84" t="s">
        <v>52</v>
      </c>
      <c r="C35" s="85">
        <v>1</v>
      </c>
      <c r="D35" s="86"/>
      <c r="E35" s="87"/>
      <c r="F35" s="124">
        <v>5</v>
      </c>
      <c r="G35" s="124">
        <v>10</v>
      </c>
      <c r="H35" s="124">
        <v>2</v>
      </c>
      <c r="I35" s="124">
        <f>SUM(C35:G35)</f>
        <v>16</v>
      </c>
      <c r="J35" s="127"/>
    </row>
    <row r="36" spans="2:10" ht="17.25" thickBot="1" x14ac:dyDescent="0.35">
      <c r="B36" s="123" t="s">
        <v>117</v>
      </c>
      <c r="C36" s="126">
        <f>SUM(C30:C35)</f>
        <v>6</v>
      </c>
      <c r="D36" s="126">
        <f>SUM(D30:D35)</f>
        <v>2</v>
      </c>
      <c r="E36" s="126">
        <f>SUM(E30:E35)</f>
        <v>2</v>
      </c>
      <c r="F36" s="126"/>
      <c r="G36" s="126"/>
      <c r="H36" s="126">
        <f>SUM(H30:H35)</f>
        <v>8</v>
      </c>
      <c r="I36" s="126">
        <f t="shared" ref="I36" si="3">SUM(I30:I35)</f>
        <v>25</v>
      </c>
      <c r="J36" s="125">
        <f>SUM(I36+H36)</f>
        <v>33</v>
      </c>
    </row>
    <row r="37" spans="2:10" ht="17.25" thickBot="1" x14ac:dyDescent="0.35">
      <c r="B37" s="176" t="s">
        <v>120</v>
      </c>
      <c r="C37" s="176"/>
      <c r="D37" s="176"/>
      <c r="E37" s="176"/>
      <c r="F37" s="176"/>
      <c r="G37" s="176"/>
      <c r="H37" s="176"/>
      <c r="I37" s="176"/>
      <c r="J37" s="177"/>
    </row>
    <row r="38" spans="2:10" ht="17.25" thickBot="1" x14ac:dyDescent="0.35">
      <c r="B38" s="110" t="s">
        <v>88</v>
      </c>
      <c r="C38" s="111" t="s">
        <v>115</v>
      </c>
      <c r="D38" s="111" t="s">
        <v>113</v>
      </c>
      <c r="E38" s="111" t="s">
        <v>87</v>
      </c>
      <c r="F38" s="148" t="s">
        <v>173</v>
      </c>
      <c r="G38" s="148" t="s">
        <v>174</v>
      </c>
      <c r="H38" s="122" t="s">
        <v>175</v>
      </c>
      <c r="I38" s="122" t="s">
        <v>176</v>
      </c>
      <c r="J38" s="122" t="s">
        <v>117</v>
      </c>
    </row>
    <row r="39" spans="2:10" ht="16.5" x14ac:dyDescent="0.3">
      <c r="B39" s="82" t="s">
        <v>51</v>
      </c>
      <c r="C39" s="76"/>
      <c r="D39" s="76"/>
      <c r="E39" s="79"/>
      <c r="F39" s="124"/>
      <c r="G39" s="124"/>
      <c r="H39" s="125"/>
      <c r="I39" s="124"/>
      <c r="J39" s="126"/>
    </row>
    <row r="40" spans="2:10" ht="16.5" x14ac:dyDescent="0.3">
      <c r="B40" s="82" t="s">
        <v>54</v>
      </c>
      <c r="C40" s="76"/>
      <c r="D40" s="76"/>
      <c r="E40" s="79"/>
      <c r="F40" s="124"/>
      <c r="G40" s="124"/>
      <c r="H40" s="124"/>
      <c r="I40" s="124"/>
      <c r="J40" s="127"/>
    </row>
    <row r="41" spans="2:10" ht="16.5" x14ac:dyDescent="0.3">
      <c r="B41" s="82" t="s">
        <v>55</v>
      </c>
      <c r="C41" s="76"/>
      <c r="D41" s="76"/>
      <c r="E41" s="79"/>
      <c r="F41" s="124"/>
      <c r="G41" s="124"/>
      <c r="H41" s="124"/>
      <c r="I41" s="124"/>
      <c r="J41" s="126"/>
    </row>
    <row r="42" spans="2:10" ht="16.5" x14ac:dyDescent="0.3">
      <c r="B42" s="82" t="s">
        <v>50</v>
      </c>
      <c r="C42" s="76"/>
      <c r="D42" s="76"/>
      <c r="E42" s="79"/>
      <c r="F42" s="124"/>
      <c r="G42" s="124"/>
      <c r="H42" s="124"/>
      <c r="I42" s="124"/>
      <c r="J42" s="127"/>
    </row>
    <row r="43" spans="2:10" ht="16.5" x14ac:dyDescent="0.3">
      <c r="B43" s="83" t="s">
        <v>53</v>
      </c>
      <c r="C43" s="76"/>
      <c r="D43" s="76"/>
      <c r="E43" s="79"/>
      <c r="F43" s="124"/>
      <c r="G43" s="124"/>
      <c r="H43" s="124"/>
      <c r="I43" s="124"/>
      <c r="J43" s="127"/>
    </row>
    <row r="44" spans="2:10" ht="17.25" thickBot="1" x14ac:dyDescent="0.35">
      <c r="B44" s="84" t="s">
        <v>52</v>
      </c>
      <c r="I44" s="124"/>
      <c r="J44" s="127"/>
    </row>
    <row r="45" spans="2:10" ht="17.25" thickBot="1" x14ac:dyDescent="0.35">
      <c r="B45" s="123" t="s">
        <v>117</v>
      </c>
      <c r="C45" s="126">
        <f t="shared" ref="C45:I45" si="4">SUM(C39:C44)</f>
        <v>0</v>
      </c>
      <c r="D45" s="126">
        <f t="shared" si="4"/>
        <v>0</v>
      </c>
      <c r="E45" s="126">
        <f t="shared" si="4"/>
        <v>0</v>
      </c>
      <c r="F45" s="126"/>
      <c r="G45" s="126"/>
      <c r="H45" s="126">
        <f t="shared" si="4"/>
        <v>0</v>
      </c>
      <c r="I45" s="126">
        <f t="shared" si="4"/>
        <v>0</v>
      </c>
      <c r="J45" s="125">
        <f>SUM(I45+H45)</f>
        <v>0</v>
      </c>
    </row>
    <row r="46" spans="2:10" ht="17.25" thickBot="1" x14ac:dyDescent="0.35">
      <c r="B46" s="176" t="s">
        <v>121</v>
      </c>
      <c r="C46" s="176"/>
      <c r="D46" s="176"/>
      <c r="E46" s="176"/>
      <c r="F46" s="176"/>
      <c r="G46" s="176"/>
      <c r="H46" s="176"/>
      <c r="I46" s="176"/>
      <c r="J46" s="177"/>
    </row>
    <row r="47" spans="2:10" ht="17.25" thickBot="1" x14ac:dyDescent="0.35">
      <c r="B47" s="110" t="s">
        <v>88</v>
      </c>
      <c r="C47" s="111" t="s">
        <v>115</v>
      </c>
      <c r="D47" s="111" t="s">
        <v>113</v>
      </c>
      <c r="E47" s="111" t="s">
        <v>87</v>
      </c>
      <c r="F47" s="122"/>
      <c r="G47" s="122"/>
      <c r="H47" s="122" t="s">
        <v>136</v>
      </c>
      <c r="I47" s="122" t="s">
        <v>129</v>
      </c>
      <c r="J47" s="122" t="s">
        <v>117</v>
      </c>
    </row>
    <row r="48" spans="2:10" ht="16.5" x14ac:dyDescent="0.3">
      <c r="B48" s="82" t="s">
        <v>51</v>
      </c>
      <c r="C48" s="76"/>
      <c r="D48" s="76"/>
      <c r="E48" s="79"/>
      <c r="F48" s="147"/>
      <c r="G48" s="147"/>
      <c r="H48" s="125"/>
      <c r="I48" s="124"/>
      <c r="J48" s="126"/>
    </row>
    <row r="49" spans="2:10" ht="16.5" x14ac:dyDescent="0.3">
      <c r="B49" s="82" t="s">
        <v>54</v>
      </c>
      <c r="C49" s="76"/>
      <c r="D49" s="76"/>
      <c r="E49" s="79"/>
      <c r="F49" s="147"/>
      <c r="G49" s="147"/>
      <c r="H49" s="124"/>
      <c r="I49" s="124"/>
      <c r="J49" s="127"/>
    </row>
    <row r="50" spans="2:10" ht="16.5" x14ac:dyDescent="0.3">
      <c r="B50" s="82" t="s">
        <v>55</v>
      </c>
      <c r="C50" s="76"/>
      <c r="D50" s="76"/>
      <c r="E50" s="79"/>
      <c r="F50" s="147"/>
      <c r="G50" s="147"/>
      <c r="H50" s="124"/>
      <c r="I50" s="124"/>
      <c r="J50" s="126"/>
    </row>
    <row r="51" spans="2:10" ht="16.5" x14ac:dyDescent="0.3">
      <c r="B51" s="82" t="s">
        <v>50</v>
      </c>
      <c r="C51" s="76"/>
      <c r="D51" s="76"/>
      <c r="E51" s="79"/>
      <c r="F51" s="147"/>
      <c r="G51" s="147"/>
      <c r="H51" s="124"/>
      <c r="I51" s="124"/>
      <c r="J51" s="127"/>
    </row>
    <row r="52" spans="2:10" ht="16.5" x14ac:dyDescent="0.3">
      <c r="B52" s="83" t="s">
        <v>53</v>
      </c>
      <c r="C52" s="76"/>
      <c r="D52" s="76"/>
      <c r="E52" s="79"/>
      <c r="F52" s="147"/>
      <c r="G52" s="147"/>
      <c r="H52" s="124"/>
      <c r="I52" s="124"/>
      <c r="J52" s="127"/>
    </row>
    <row r="53" spans="2:10" ht="17.25" thickBot="1" x14ac:dyDescent="0.35">
      <c r="B53" s="84" t="s">
        <v>52</v>
      </c>
      <c r="C53" s="85"/>
      <c r="D53" s="86"/>
      <c r="E53" s="87"/>
      <c r="F53" s="147"/>
      <c r="G53" s="147"/>
      <c r="H53" s="124"/>
      <c r="I53" s="124"/>
      <c r="J53" s="127"/>
    </row>
    <row r="54" spans="2:10" ht="17.25" thickBot="1" x14ac:dyDescent="0.35">
      <c r="B54" s="123" t="s">
        <v>117</v>
      </c>
      <c r="C54" s="126">
        <f t="shared" ref="C54:I54" si="5">SUM(C48:C53)</f>
        <v>0</v>
      </c>
      <c r="D54" s="126">
        <f t="shared" si="5"/>
        <v>0</v>
      </c>
      <c r="E54" s="126">
        <f t="shared" si="5"/>
        <v>0</v>
      </c>
      <c r="F54" s="126"/>
      <c r="G54" s="126"/>
      <c r="H54" s="126">
        <f t="shared" si="5"/>
        <v>0</v>
      </c>
      <c r="I54" s="126">
        <f t="shared" si="5"/>
        <v>0</v>
      </c>
      <c r="J54" s="125">
        <f t="shared" ref="J54" si="6">SUM(I54+H54)</f>
        <v>0</v>
      </c>
    </row>
    <row r="55" spans="2:10" ht="17.25" thickBot="1" x14ac:dyDescent="0.35">
      <c r="B55" s="176" t="s">
        <v>122</v>
      </c>
      <c r="C55" s="176"/>
      <c r="D55" s="176"/>
      <c r="E55" s="176"/>
      <c r="F55" s="176"/>
      <c r="G55" s="176"/>
      <c r="H55" s="176"/>
      <c r="I55" s="176"/>
      <c r="J55" s="177"/>
    </row>
    <row r="56" spans="2:10" ht="17.25" thickBot="1" x14ac:dyDescent="0.35">
      <c r="B56" s="110" t="s">
        <v>88</v>
      </c>
      <c r="C56" s="111" t="s">
        <v>115</v>
      </c>
      <c r="D56" s="111" t="s">
        <v>113</v>
      </c>
      <c r="E56" s="111" t="s">
        <v>87</v>
      </c>
      <c r="F56" s="122"/>
      <c r="G56" s="122"/>
      <c r="H56" s="122" t="s">
        <v>136</v>
      </c>
      <c r="I56" s="122" t="s">
        <v>129</v>
      </c>
      <c r="J56" s="122" t="s">
        <v>117</v>
      </c>
    </row>
    <row r="57" spans="2:10" ht="16.5" x14ac:dyDescent="0.3">
      <c r="B57" s="82" t="s">
        <v>51</v>
      </c>
      <c r="C57" s="76"/>
      <c r="D57" s="76"/>
      <c r="E57" s="79"/>
      <c r="F57" s="147"/>
      <c r="G57" s="147"/>
      <c r="H57" s="125"/>
      <c r="I57" s="124"/>
      <c r="J57" s="126"/>
    </row>
    <row r="58" spans="2:10" ht="16.5" x14ac:dyDescent="0.3">
      <c r="B58" s="82" t="s">
        <v>54</v>
      </c>
      <c r="C58" s="76"/>
      <c r="D58" s="76"/>
      <c r="E58" s="79"/>
      <c r="F58" s="147"/>
      <c r="G58" s="147"/>
      <c r="H58" s="124"/>
      <c r="I58" s="124"/>
      <c r="J58" s="127"/>
    </row>
    <row r="59" spans="2:10" ht="16.5" x14ac:dyDescent="0.3">
      <c r="B59" s="82" t="s">
        <v>55</v>
      </c>
      <c r="C59" s="76"/>
      <c r="D59" s="76"/>
      <c r="E59" s="79"/>
      <c r="F59" s="147"/>
      <c r="G59" s="147"/>
      <c r="H59" s="124"/>
      <c r="I59" s="124"/>
      <c r="J59" s="126"/>
    </row>
    <row r="60" spans="2:10" ht="16.5" x14ac:dyDescent="0.3">
      <c r="B60" s="82" t="s">
        <v>50</v>
      </c>
      <c r="C60" s="76"/>
      <c r="D60" s="76"/>
      <c r="E60" s="79"/>
      <c r="F60" s="147"/>
      <c r="G60" s="147"/>
      <c r="H60" s="124"/>
      <c r="I60" s="124"/>
      <c r="J60" s="127"/>
    </row>
    <row r="61" spans="2:10" ht="16.5" x14ac:dyDescent="0.3">
      <c r="B61" s="83" t="s">
        <v>53</v>
      </c>
      <c r="C61" s="76"/>
      <c r="D61" s="76"/>
      <c r="E61" s="79"/>
      <c r="F61" s="147"/>
      <c r="G61" s="147"/>
      <c r="H61" s="124"/>
      <c r="I61" s="124"/>
      <c r="J61" s="127"/>
    </row>
    <row r="62" spans="2:10" ht="17.25" thickBot="1" x14ac:dyDescent="0.35">
      <c r="B62" s="84" t="s">
        <v>52</v>
      </c>
      <c r="C62" s="85"/>
      <c r="D62" s="86"/>
      <c r="E62" s="87"/>
      <c r="F62" s="147"/>
      <c r="G62" s="147"/>
      <c r="H62" s="124"/>
      <c r="I62" s="124"/>
      <c r="J62" s="127"/>
    </row>
    <row r="63" spans="2:10" ht="17.25" thickBot="1" x14ac:dyDescent="0.35">
      <c r="B63" s="123" t="s">
        <v>117</v>
      </c>
      <c r="C63" s="126">
        <f t="shared" ref="C63:I63" si="7">SUM(C57:C62)</f>
        <v>0</v>
      </c>
      <c r="D63" s="126">
        <f t="shared" si="7"/>
        <v>0</v>
      </c>
      <c r="E63" s="126">
        <f t="shared" si="7"/>
        <v>0</v>
      </c>
      <c r="F63" s="126"/>
      <c r="G63" s="126"/>
      <c r="H63" s="126">
        <f t="shared" si="7"/>
        <v>0</v>
      </c>
      <c r="I63" s="126">
        <f t="shared" si="7"/>
        <v>0</v>
      </c>
      <c r="J63" s="125">
        <f t="shared" ref="J63" si="8">SUM(I63+H63)</f>
        <v>0</v>
      </c>
    </row>
    <row r="64" spans="2:10" ht="17.25" thickBot="1" x14ac:dyDescent="0.35">
      <c r="B64" s="176" t="s">
        <v>123</v>
      </c>
      <c r="C64" s="176"/>
      <c r="D64" s="176"/>
      <c r="E64" s="176"/>
      <c r="F64" s="176"/>
      <c r="G64" s="176"/>
      <c r="H64" s="176"/>
      <c r="I64" s="176"/>
      <c r="J64" s="177"/>
    </row>
    <row r="65" spans="2:10" ht="17.25" thickBot="1" x14ac:dyDescent="0.35">
      <c r="B65" s="110" t="s">
        <v>88</v>
      </c>
      <c r="C65" s="111" t="s">
        <v>115</v>
      </c>
      <c r="D65" s="111" t="s">
        <v>113</v>
      </c>
      <c r="E65" s="111" t="s">
        <v>87</v>
      </c>
      <c r="F65" s="122"/>
      <c r="G65" s="122"/>
      <c r="H65" s="122" t="s">
        <v>136</v>
      </c>
      <c r="I65" s="122" t="s">
        <v>129</v>
      </c>
      <c r="J65" s="122" t="s">
        <v>117</v>
      </c>
    </row>
    <row r="66" spans="2:10" ht="16.5" x14ac:dyDescent="0.3">
      <c r="B66" s="82" t="s">
        <v>51</v>
      </c>
      <c r="C66" s="76"/>
      <c r="D66" s="76"/>
      <c r="E66" s="79"/>
      <c r="F66" s="147"/>
      <c r="G66" s="147"/>
      <c r="H66" s="125"/>
      <c r="I66" s="124"/>
      <c r="J66" s="126"/>
    </row>
    <row r="67" spans="2:10" ht="16.5" x14ac:dyDescent="0.3">
      <c r="B67" s="82" t="s">
        <v>54</v>
      </c>
      <c r="C67" s="76"/>
      <c r="D67" s="76"/>
      <c r="E67" s="79"/>
      <c r="F67" s="147"/>
      <c r="G67" s="147"/>
      <c r="H67" s="124"/>
      <c r="I67" s="124"/>
      <c r="J67" s="127"/>
    </row>
    <row r="68" spans="2:10" ht="16.5" x14ac:dyDescent="0.3">
      <c r="B68" s="82" t="s">
        <v>55</v>
      </c>
      <c r="C68" s="76"/>
      <c r="D68" s="76"/>
      <c r="E68" s="79"/>
      <c r="F68" s="147"/>
      <c r="G68" s="147"/>
      <c r="H68" s="124"/>
      <c r="I68" s="124"/>
      <c r="J68" s="126"/>
    </row>
    <row r="69" spans="2:10" ht="16.5" x14ac:dyDescent="0.3">
      <c r="B69" s="82" t="s">
        <v>50</v>
      </c>
      <c r="C69" s="76"/>
      <c r="D69" s="76"/>
      <c r="E69" s="79"/>
      <c r="F69" s="147"/>
      <c r="G69" s="147"/>
      <c r="H69" s="124"/>
      <c r="I69" s="124"/>
      <c r="J69" s="127"/>
    </row>
    <row r="70" spans="2:10" ht="16.5" x14ac:dyDescent="0.3">
      <c r="B70" s="83" t="s">
        <v>53</v>
      </c>
      <c r="C70" s="76"/>
      <c r="D70" s="76"/>
      <c r="E70" s="79"/>
      <c r="F70" s="147"/>
      <c r="G70" s="147"/>
      <c r="H70" s="124"/>
      <c r="I70" s="124"/>
      <c r="J70" s="127"/>
    </row>
    <row r="71" spans="2:10" ht="17.25" thickBot="1" x14ac:dyDescent="0.35">
      <c r="B71" s="84" t="s">
        <v>52</v>
      </c>
      <c r="C71" s="85"/>
      <c r="D71" s="86"/>
      <c r="E71" s="87"/>
      <c r="F71" s="147"/>
      <c r="G71" s="147"/>
      <c r="H71" s="124"/>
      <c r="I71" s="124"/>
      <c r="J71" s="127"/>
    </row>
    <row r="72" spans="2:10" ht="17.25" thickBot="1" x14ac:dyDescent="0.35">
      <c r="B72" s="123" t="s">
        <v>117</v>
      </c>
      <c r="C72" s="126">
        <f t="shared" ref="C72:I72" si="9">SUM(C66:C71)</f>
        <v>0</v>
      </c>
      <c r="D72" s="126">
        <f t="shared" si="9"/>
        <v>0</v>
      </c>
      <c r="E72" s="126">
        <f t="shared" si="9"/>
        <v>0</v>
      </c>
      <c r="F72" s="126"/>
      <c r="G72" s="126"/>
      <c r="H72" s="126">
        <f t="shared" si="9"/>
        <v>0</v>
      </c>
      <c r="I72" s="126">
        <f t="shared" si="9"/>
        <v>0</v>
      </c>
      <c r="J72" s="125">
        <f t="shared" ref="J72" si="10">SUM(I72+H72)</f>
        <v>0</v>
      </c>
    </row>
    <row r="73" spans="2:10" ht="17.25" thickBot="1" x14ac:dyDescent="0.35">
      <c r="B73" s="176" t="s">
        <v>124</v>
      </c>
      <c r="C73" s="176"/>
      <c r="D73" s="176"/>
      <c r="E73" s="176"/>
      <c r="F73" s="176"/>
      <c r="G73" s="176"/>
      <c r="H73" s="176"/>
      <c r="I73" s="176"/>
      <c r="J73" s="177"/>
    </row>
    <row r="74" spans="2:10" ht="17.25" thickBot="1" x14ac:dyDescent="0.35">
      <c r="B74" s="110" t="s">
        <v>88</v>
      </c>
      <c r="C74" s="111" t="s">
        <v>115</v>
      </c>
      <c r="D74" s="111" t="s">
        <v>113</v>
      </c>
      <c r="E74" s="111" t="s">
        <v>87</v>
      </c>
      <c r="F74" s="122"/>
      <c r="G74" s="122"/>
      <c r="H74" s="122" t="s">
        <v>136</v>
      </c>
      <c r="I74" s="122" t="s">
        <v>129</v>
      </c>
      <c r="J74" s="122" t="s">
        <v>117</v>
      </c>
    </row>
    <row r="75" spans="2:10" ht="16.5" x14ac:dyDescent="0.3">
      <c r="B75" s="82" t="s">
        <v>51</v>
      </c>
      <c r="C75" s="76"/>
      <c r="D75" s="76"/>
      <c r="E75" s="79"/>
      <c r="F75" s="147"/>
      <c r="G75" s="147"/>
      <c r="H75" s="125"/>
      <c r="I75" s="124"/>
      <c r="J75" s="126"/>
    </row>
    <row r="76" spans="2:10" ht="16.5" x14ac:dyDescent="0.3">
      <c r="B76" s="82" t="s">
        <v>54</v>
      </c>
      <c r="C76" s="76"/>
      <c r="D76" s="76"/>
      <c r="E76" s="79"/>
      <c r="F76" s="147"/>
      <c r="G76" s="147"/>
      <c r="H76" s="124"/>
      <c r="I76" s="124"/>
      <c r="J76" s="127"/>
    </row>
    <row r="77" spans="2:10" ht="16.5" x14ac:dyDescent="0.3">
      <c r="B77" s="82" t="s">
        <v>55</v>
      </c>
      <c r="C77" s="76"/>
      <c r="D77" s="76"/>
      <c r="E77" s="79"/>
      <c r="F77" s="147"/>
      <c r="G77" s="147"/>
      <c r="H77" s="124"/>
      <c r="I77" s="124"/>
      <c r="J77" s="126"/>
    </row>
    <row r="78" spans="2:10" ht="16.5" x14ac:dyDescent="0.3">
      <c r="B78" s="82" t="s">
        <v>50</v>
      </c>
      <c r="C78" s="76"/>
      <c r="D78" s="76"/>
      <c r="E78" s="79"/>
      <c r="F78" s="147"/>
      <c r="G78" s="147"/>
      <c r="H78" s="124"/>
      <c r="I78" s="124"/>
      <c r="J78" s="127"/>
    </row>
    <row r="79" spans="2:10" ht="16.5" x14ac:dyDescent="0.3">
      <c r="B79" s="83" t="s">
        <v>53</v>
      </c>
      <c r="C79" s="76"/>
      <c r="D79" s="76"/>
      <c r="E79" s="79"/>
      <c r="F79" s="147"/>
      <c r="G79" s="147"/>
      <c r="H79" s="124"/>
      <c r="I79" s="124"/>
      <c r="J79" s="127"/>
    </row>
    <row r="80" spans="2:10" ht="17.25" thickBot="1" x14ac:dyDescent="0.35">
      <c r="B80" s="84" t="s">
        <v>52</v>
      </c>
      <c r="C80" s="85"/>
      <c r="D80" s="86"/>
      <c r="E80" s="87"/>
      <c r="F80" s="147"/>
      <c r="G80" s="147"/>
      <c r="H80" s="124"/>
      <c r="I80" s="124"/>
      <c r="J80" s="127"/>
    </row>
    <row r="81" spans="2:10" ht="17.25" thickBot="1" x14ac:dyDescent="0.35">
      <c r="B81" s="123" t="s">
        <v>117</v>
      </c>
      <c r="C81" s="126">
        <f t="shared" ref="C81:I81" si="11">SUM(C75:C80)</f>
        <v>0</v>
      </c>
      <c r="D81" s="126">
        <f t="shared" si="11"/>
        <v>0</v>
      </c>
      <c r="E81" s="126">
        <f t="shared" si="11"/>
        <v>0</v>
      </c>
      <c r="F81" s="126"/>
      <c r="G81" s="126"/>
      <c r="H81" s="126">
        <f t="shared" si="11"/>
        <v>0</v>
      </c>
      <c r="I81" s="126">
        <f t="shared" si="11"/>
        <v>0</v>
      </c>
      <c r="J81" s="125">
        <f t="shared" ref="J81" si="12">SUM(I81+H81)</f>
        <v>0</v>
      </c>
    </row>
    <row r="82" spans="2:10" ht="17.25" thickBot="1" x14ac:dyDescent="0.35">
      <c r="B82" s="176" t="s">
        <v>125</v>
      </c>
      <c r="C82" s="176"/>
      <c r="D82" s="176"/>
      <c r="E82" s="176"/>
      <c r="F82" s="176"/>
      <c r="G82" s="176"/>
      <c r="H82" s="176"/>
      <c r="I82" s="176"/>
      <c r="J82" s="177"/>
    </row>
    <row r="83" spans="2:10" ht="17.25" thickBot="1" x14ac:dyDescent="0.35">
      <c r="B83" s="110" t="s">
        <v>88</v>
      </c>
      <c r="C83" s="111" t="s">
        <v>115</v>
      </c>
      <c r="D83" s="111" t="s">
        <v>113</v>
      </c>
      <c r="E83" s="111" t="s">
        <v>87</v>
      </c>
      <c r="F83" s="122"/>
      <c r="G83" s="122"/>
      <c r="H83" s="122" t="s">
        <v>136</v>
      </c>
      <c r="I83" s="122" t="s">
        <v>129</v>
      </c>
      <c r="J83" s="122" t="s">
        <v>117</v>
      </c>
    </row>
    <row r="84" spans="2:10" ht="16.5" x14ac:dyDescent="0.3">
      <c r="B84" s="82" t="s">
        <v>51</v>
      </c>
      <c r="C84" s="76"/>
      <c r="D84" s="76"/>
      <c r="E84" s="79"/>
      <c r="F84" s="147"/>
      <c r="G84" s="147"/>
      <c r="H84" s="125"/>
      <c r="I84" s="124"/>
      <c r="J84" s="126"/>
    </row>
    <row r="85" spans="2:10" ht="16.5" x14ac:dyDescent="0.3">
      <c r="B85" s="82" t="s">
        <v>54</v>
      </c>
      <c r="C85" s="76"/>
      <c r="D85" s="76"/>
      <c r="E85" s="79"/>
      <c r="F85" s="147"/>
      <c r="G85" s="147"/>
      <c r="H85" s="124"/>
      <c r="I85" s="124"/>
      <c r="J85" s="127"/>
    </row>
    <row r="86" spans="2:10" ht="16.5" x14ac:dyDescent="0.3">
      <c r="B86" s="82" t="s">
        <v>55</v>
      </c>
      <c r="C86" s="76"/>
      <c r="D86" s="76"/>
      <c r="E86" s="79"/>
      <c r="F86" s="147"/>
      <c r="G86" s="147"/>
      <c r="H86" s="124"/>
      <c r="I86" s="124"/>
      <c r="J86" s="126"/>
    </row>
    <row r="87" spans="2:10" ht="16.5" x14ac:dyDescent="0.3">
      <c r="B87" s="82" t="s">
        <v>50</v>
      </c>
      <c r="C87" s="76"/>
      <c r="D87" s="76"/>
      <c r="E87" s="79"/>
      <c r="F87" s="147"/>
      <c r="G87" s="147"/>
      <c r="H87" s="124"/>
      <c r="I87" s="124"/>
      <c r="J87" s="127"/>
    </row>
    <row r="88" spans="2:10" ht="16.5" x14ac:dyDescent="0.3">
      <c r="B88" s="83" t="s">
        <v>53</v>
      </c>
      <c r="C88" s="76"/>
      <c r="D88" s="76"/>
      <c r="E88" s="79"/>
      <c r="F88" s="147"/>
      <c r="G88" s="147"/>
      <c r="H88" s="124"/>
      <c r="I88" s="124"/>
      <c r="J88" s="127"/>
    </row>
    <row r="89" spans="2:10" ht="17.25" thickBot="1" x14ac:dyDescent="0.35">
      <c r="B89" s="84" t="s">
        <v>52</v>
      </c>
      <c r="C89" s="85"/>
      <c r="D89" s="86"/>
      <c r="E89" s="87"/>
      <c r="F89" s="147"/>
      <c r="G89" s="147"/>
      <c r="H89" s="124"/>
      <c r="I89" s="124"/>
      <c r="J89" s="127"/>
    </row>
    <row r="90" spans="2:10" ht="16.5" x14ac:dyDescent="0.3">
      <c r="B90" s="123" t="s">
        <v>117</v>
      </c>
      <c r="C90" s="126">
        <f t="shared" ref="C90:I90" si="13">SUM(C84:C89)</f>
        <v>0</v>
      </c>
      <c r="D90" s="126">
        <f t="shared" si="13"/>
        <v>0</v>
      </c>
      <c r="E90" s="126">
        <f t="shared" si="13"/>
        <v>0</v>
      </c>
      <c r="F90" s="126"/>
      <c r="G90" s="126"/>
      <c r="H90" s="126">
        <f t="shared" si="13"/>
        <v>0</v>
      </c>
      <c r="I90" s="126">
        <f t="shared" si="13"/>
        <v>0</v>
      </c>
      <c r="J90" s="125">
        <f t="shared" ref="J90" si="14">SUM(I90+H90)</f>
        <v>0</v>
      </c>
    </row>
  </sheetData>
  <mergeCells count="14">
    <mergeCell ref="B55:J55"/>
    <mergeCell ref="B64:J64"/>
    <mergeCell ref="B73:J73"/>
    <mergeCell ref="B82:J82"/>
    <mergeCell ref="J13:J18"/>
    <mergeCell ref="B19:J19"/>
    <mergeCell ref="B28:J28"/>
    <mergeCell ref="B37:J37"/>
    <mergeCell ref="B46:J46"/>
    <mergeCell ref="B3:J3"/>
    <mergeCell ref="B2:J2"/>
    <mergeCell ref="K8:Q10"/>
    <mergeCell ref="J5:J10"/>
    <mergeCell ref="B11:J11"/>
  </mergeCells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7AC2-0A96-4544-A0FA-B2AD56A6D5BD}">
  <dimension ref="A1:H79"/>
  <sheetViews>
    <sheetView tabSelected="1" workbookViewId="0">
      <selection activeCell="D1" sqref="D1"/>
    </sheetView>
  </sheetViews>
  <sheetFormatPr baseColWidth="10" defaultRowHeight="15" x14ac:dyDescent="0.25"/>
  <cols>
    <col min="2" max="2" width="31.140625" customWidth="1"/>
    <col min="3" max="3" width="17.85546875" customWidth="1"/>
    <col min="4" max="4" width="16" customWidth="1"/>
    <col min="5" max="5" width="16.42578125" customWidth="1"/>
    <col min="6" max="6" width="15.7109375" customWidth="1"/>
    <col min="8" max="8" width="13.7109375" customWidth="1"/>
  </cols>
  <sheetData>
    <row r="1" spans="1:8" x14ac:dyDescent="0.25">
      <c r="A1" s="204" t="s">
        <v>181</v>
      </c>
      <c r="B1" s="204" t="s">
        <v>6</v>
      </c>
      <c r="C1" s="204" t="s">
        <v>182</v>
      </c>
      <c r="D1" s="204" t="s">
        <v>183</v>
      </c>
      <c r="E1" s="204" t="s">
        <v>184</v>
      </c>
      <c r="F1" s="204" t="s">
        <v>185</v>
      </c>
      <c r="G1" s="204" t="s">
        <v>186</v>
      </c>
      <c r="H1" s="204" t="s">
        <v>187</v>
      </c>
    </row>
    <row r="2" spans="1:8" x14ac:dyDescent="0.25">
      <c r="A2" s="201" t="s">
        <v>188</v>
      </c>
      <c r="B2" s="201" t="s">
        <v>189</v>
      </c>
      <c r="C2" s="202">
        <v>94072826</v>
      </c>
      <c r="D2" s="201" t="s">
        <v>190</v>
      </c>
      <c r="E2" s="201" t="s">
        <v>191</v>
      </c>
      <c r="F2" s="201" t="s">
        <v>192</v>
      </c>
      <c r="G2" s="201"/>
      <c r="H2" s="201" t="s">
        <v>193</v>
      </c>
    </row>
    <row r="3" spans="1:8" x14ac:dyDescent="0.25">
      <c r="A3" s="201" t="s">
        <v>194</v>
      </c>
      <c r="B3" s="201" t="s">
        <v>195</v>
      </c>
      <c r="C3" s="202">
        <v>92263088</v>
      </c>
      <c r="D3" s="201" t="s">
        <v>196</v>
      </c>
      <c r="E3" s="201" t="s">
        <v>197</v>
      </c>
      <c r="F3" s="201" t="s">
        <v>192</v>
      </c>
      <c r="G3" s="201"/>
      <c r="H3" s="201" t="s">
        <v>193</v>
      </c>
    </row>
    <row r="4" spans="1:8" x14ac:dyDescent="0.25">
      <c r="A4" s="201" t="s">
        <v>198</v>
      </c>
      <c r="B4" s="201" t="s">
        <v>171</v>
      </c>
      <c r="C4" s="203" t="s">
        <v>199</v>
      </c>
      <c r="D4" s="201" t="s">
        <v>200</v>
      </c>
      <c r="E4" s="201" t="s">
        <v>201</v>
      </c>
      <c r="F4" s="201" t="s">
        <v>192</v>
      </c>
      <c r="G4" s="201"/>
      <c r="H4" s="201" t="s">
        <v>193</v>
      </c>
    </row>
    <row r="5" spans="1:8" x14ac:dyDescent="0.25">
      <c r="A5" s="201" t="s">
        <v>202</v>
      </c>
      <c r="B5" s="201" t="s">
        <v>203</v>
      </c>
      <c r="C5" s="203" t="s">
        <v>204</v>
      </c>
      <c r="D5" s="201" t="s">
        <v>190</v>
      </c>
      <c r="E5" s="201" t="s">
        <v>201</v>
      </c>
      <c r="F5" s="201" t="s">
        <v>192</v>
      </c>
      <c r="G5" s="201"/>
      <c r="H5" s="201" t="s">
        <v>193</v>
      </c>
    </row>
    <row r="6" spans="1:8" x14ac:dyDescent="0.25">
      <c r="A6" s="201" t="s">
        <v>205</v>
      </c>
      <c r="B6" s="201" t="s">
        <v>206</v>
      </c>
      <c r="C6" s="203" t="s">
        <v>207</v>
      </c>
      <c r="D6" s="201" t="s">
        <v>200</v>
      </c>
      <c r="E6" s="201" t="s">
        <v>208</v>
      </c>
      <c r="F6" s="201" t="s">
        <v>192</v>
      </c>
      <c r="G6" s="201"/>
      <c r="H6" s="201" t="s">
        <v>193</v>
      </c>
    </row>
    <row r="7" spans="1:8" x14ac:dyDescent="0.25">
      <c r="A7" s="201" t="s">
        <v>209</v>
      </c>
      <c r="B7" s="201" t="s">
        <v>210</v>
      </c>
      <c r="C7" s="203" t="s">
        <v>211</v>
      </c>
      <c r="D7" s="201" t="s">
        <v>212</v>
      </c>
      <c r="E7" s="201" t="s">
        <v>191</v>
      </c>
      <c r="F7" s="201" t="s">
        <v>192</v>
      </c>
      <c r="G7" s="201"/>
      <c r="H7" s="201" t="s">
        <v>193</v>
      </c>
    </row>
    <row r="8" spans="1:8" x14ac:dyDescent="0.25">
      <c r="A8" s="201" t="s">
        <v>213</v>
      </c>
      <c r="B8" s="201" t="s">
        <v>214</v>
      </c>
      <c r="C8" s="203" t="s">
        <v>215</v>
      </c>
      <c r="D8" s="201" t="s">
        <v>212</v>
      </c>
      <c r="E8" s="201" t="s">
        <v>208</v>
      </c>
      <c r="F8" s="201" t="s">
        <v>192</v>
      </c>
      <c r="G8" s="201"/>
      <c r="H8" s="201" t="s">
        <v>193</v>
      </c>
    </row>
    <row r="9" spans="1:8" x14ac:dyDescent="0.25">
      <c r="A9" s="201" t="s">
        <v>216</v>
      </c>
      <c r="B9" s="201" t="s">
        <v>217</v>
      </c>
      <c r="C9" s="202">
        <v>88916581</v>
      </c>
      <c r="D9" s="201" t="s">
        <v>88</v>
      </c>
      <c r="E9" s="201" t="s">
        <v>218</v>
      </c>
      <c r="F9" s="201" t="s">
        <v>192</v>
      </c>
      <c r="G9" s="201"/>
      <c r="H9" s="201" t="s">
        <v>193</v>
      </c>
    </row>
    <row r="10" spans="1:8" x14ac:dyDescent="0.25">
      <c r="A10" s="201" t="s">
        <v>219</v>
      </c>
      <c r="B10" s="201" t="s">
        <v>220</v>
      </c>
      <c r="C10" s="202">
        <v>94428006</v>
      </c>
      <c r="D10" s="201" t="s">
        <v>200</v>
      </c>
      <c r="E10" s="201" t="s">
        <v>191</v>
      </c>
      <c r="F10" s="201" t="s">
        <v>192</v>
      </c>
      <c r="G10" s="201"/>
      <c r="H10" s="201" t="s">
        <v>193</v>
      </c>
    </row>
    <row r="11" spans="1:8" x14ac:dyDescent="0.25">
      <c r="A11" s="201" t="s">
        <v>221</v>
      </c>
      <c r="B11" s="201" t="s">
        <v>222</v>
      </c>
      <c r="C11" s="203" t="s">
        <v>223</v>
      </c>
      <c r="D11" s="201" t="s">
        <v>196</v>
      </c>
      <c r="E11" s="201" t="s">
        <v>197</v>
      </c>
      <c r="F11" s="201" t="s">
        <v>192</v>
      </c>
      <c r="G11" s="201"/>
      <c r="H11" s="201" t="s">
        <v>193</v>
      </c>
    </row>
    <row r="12" spans="1:8" x14ac:dyDescent="0.25">
      <c r="A12" s="201" t="s">
        <v>224</v>
      </c>
      <c r="B12" s="201" t="s">
        <v>225</v>
      </c>
      <c r="C12" s="203" t="s">
        <v>226</v>
      </c>
      <c r="D12" s="201" t="s">
        <v>227</v>
      </c>
      <c r="E12" s="201" t="s">
        <v>228</v>
      </c>
      <c r="F12" s="201" t="s">
        <v>192</v>
      </c>
      <c r="G12" s="201"/>
      <c r="H12" s="201" t="s">
        <v>193</v>
      </c>
    </row>
    <row r="13" spans="1:8" x14ac:dyDescent="0.25">
      <c r="A13" s="201" t="s">
        <v>229</v>
      </c>
      <c r="B13" s="201" t="s">
        <v>230</v>
      </c>
      <c r="C13" s="203" t="s">
        <v>231</v>
      </c>
      <c r="D13" s="201" t="s">
        <v>200</v>
      </c>
      <c r="E13" s="201" t="s">
        <v>197</v>
      </c>
      <c r="F13" s="201" t="s">
        <v>192</v>
      </c>
      <c r="G13" s="201"/>
      <c r="H13" s="201" t="s">
        <v>193</v>
      </c>
    </row>
    <row r="14" spans="1:8" x14ac:dyDescent="0.25">
      <c r="A14" s="201" t="s">
        <v>232</v>
      </c>
      <c r="B14" s="201" t="s">
        <v>233</v>
      </c>
      <c r="C14" s="202">
        <v>99334283</v>
      </c>
      <c r="D14" s="201" t="s">
        <v>200</v>
      </c>
      <c r="E14" s="201" t="s">
        <v>191</v>
      </c>
      <c r="F14" s="201" t="s">
        <v>192</v>
      </c>
      <c r="G14" s="201">
        <v>4</v>
      </c>
      <c r="H14" s="201" t="s">
        <v>193</v>
      </c>
    </row>
    <row r="15" spans="1:8" x14ac:dyDescent="0.25">
      <c r="A15" s="201" t="s">
        <v>234</v>
      </c>
      <c r="B15" s="201" t="s">
        <v>235</v>
      </c>
      <c r="C15" s="202">
        <v>99909477</v>
      </c>
      <c r="D15" s="201" t="s">
        <v>200</v>
      </c>
      <c r="E15" s="201" t="s">
        <v>228</v>
      </c>
      <c r="F15" s="201" t="s">
        <v>192</v>
      </c>
      <c r="G15" s="201"/>
      <c r="H15" s="201" t="s">
        <v>193</v>
      </c>
    </row>
    <row r="16" spans="1:8" x14ac:dyDescent="0.25">
      <c r="A16" s="201" t="s">
        <v>236</v>
      </c>
      <c r="B16" s="201" t="s">
        <v>237</v>
      </c>
      <c r="C16" s="202" t="s">
        <v>238</v>
      </c>
      <c r="D16" s="201" t="s">
        <v>239</v>
      </c>
      <c r="E16" s="201" t="s">
        <v>240</v>
      </c>
      <c r="F16" s="201" t="s">
        <v>192</v>
      </c>
      <c r="G16" s="201"/>
      <c r="H16" s="201" t="s">
        <v>193</v>
      </c>
    </row>
    <row r="17" spans="1:8" x14ac:dyDescent="0.25">
      <c r="A17" s="201" t="s">
        <v>241</v>
      </c>
      <c r="B17" s="201" t="s">
        <v>242</v>
      </c>
      <c r="C17" s="203" t="s">
        <v>243</v>
      </c>
      <c r="D17" s="201" t="s">
        <v>200</v>
      </c>
      <c r="E17" s="201" t="s">
        <v>191</v>
      </c>
      <c r="F17" s="201" t="s">
        <v>192</v>
      </c>
      <c r="G17" s="201"/>
      <c r="H17" s="201" t="s">
        <v>193</v>
      </c>
    </row>
    <row r="18" spans="1:8" x14ac:dyDescent="0.25">
      <c r="A18" s="201" t="s">
        <v>244</v>
      </c>
      <c r="B18" s="201" t="s">
        <v>245</v>
      </c>
      <c r="C18" s="202">
        <v>89723363</v>
      </c>
      <c r="D18" s="201" t="s">
        <v>239</v>
      </c>
      <c r="E18" s="201" t="s">
        <v>228</v>
      </c>
      <c r="F18" s="201" t="s">
        <v>192</v>
      </c>
      <c r="G18" s="201"/>
      <c r="H18" s="201" t="s">
        <v>193</v>
      </c>
    </row>
    <row r="19" spans="1:8" x14ac:dyDescent="0.25">
      <c r="A19" s="201" t="s">
        <v>246</v>
      </c>
      <c r="B19" s="201" t="s">
        <v>247</v>
      </c>
      <c r="C19" s="203" t="s">
        <v>248</v>
      </c>
      <c r="D19" s="201" t="s">
        <v>196</v>
      </c>
      <c r="E19" s="201" t="s">
        <v>208</v>
      </c>
      <c r="F19" s="201" t="s">
        <v>192</v>
      </c>
      <c r="G19" s="201"/>
      <c r="H19" s="201" t="s">
        <v>193</v>
      </c>
    </row>
    <row r="20" spans="1:8" x14ac:dyDescent="0.25">
      <c r="A20" s="201" t="s">
        <v>249</v>
      </c>
      <c r="B20" s="201" t="s">
        <v>67</v>
      </c>
      <c r="C20" s="202">
        <v>98805732</v>
      </c>
      <c r="D20" s="201" t="s">
        <v>200</v>
      </c>
      <c r="E20" s="201" t="s">
        <v>191</v>
      </c>
      <c r="F20" s="201" t="s">
        <v>192</v>
      </c>
      <c r="G20" s="201"/>
      <c r="H20" s="201" t="s">
        <v>193</v>
      </c>
    </row>
    <row r="21" spans="1:8" x14ac:dyDescent="0.25">
      <c r="A21" s="201" t="s">
        <v>250</v>
      </c>
      <c r="B21" s="201" t="s">
        <v>251</v>
      </c>
      <c r="C21" s="203" t="s">
        <v>252</v>
      </c>
      <c r="D21" s="201" t="s">
        <v>196</v>
      </c>
      <c r="E21" s="201" t="s">
        <v>240</v>
      </c>
      <c r="F21" s="201" t="s">
        <v>192</v>
      </c>
      <c r="G21" s="201"/>
      <c r="H21" s="201" t="s">
        <v>193</v>
      </c>
    </row>
    <row r="22" spans="1:8" x14ac:dyDescent="0.25">
      <c r="A22" s="201" t="s">
        <v>253</v>
      </c>
      <c r="B22" s="201" t="s">
        <v>254</v>
      </c>
      <c r="C22" s="202">
        <v>99909481</v>
      </c>
      <c r="D22" s="201" t="s">
        <v>196</v>
      </c>
      <c r="E22" s="201" t="s">
        <v>201</v>
      </c>
      <c r="F22" s="201" t="s">
        <v>192</v>
      </c>
      <c r="G22" s="201"/>
      <c r="H22" s="201" t="s">
        <v>193</v>
      </c>
    </row>
    <row r="23" spans="1:8" x14ac:dyDescent="0.25">
      <c r="A23" s="201" t="s">
        <v>255</v>
      </c>
      <c r="B23" s="201" t="s">
        <v>63</v>
      </c>
      <c r="C23" s="203" t="s">
        <v>256</v>
      </c>
      <c r="D23" s="201" t="s">
        <v>200</v>
      </c>
      <c r="E23" s="201" t="s">
        <v>191</v>
      </c>
      <c r="F23" s="201" t="s">
        <v>192</v>
      </c>
      <c r="G23" s="201"/>
      <c r="H23" s="201" t="s">
        <v>193</v>
      </c>
    </row>
    <row r="24" spans="1:8" x14ac:dyDescent="0.25">
      <c r="A24" s="201" t="s">
        <v>257</v>
      </c>
      <c r="B24" s="201" t="s">
        <v>70</v>
      </c>
      <c r="C24" s="202" t="s">
        <v>258</v>
      </c>
      <c r="D24" s="201" t="s">
        <v>190</v>
      </c>
      <c r="E24" s="201" t="s">
        <v>201</v>
      </c>
      <c r="F24" s="201" t="s">
        <v>192</v>
      </c>
      <c r="G24" s="201"/>
      <c r="H24" s="201" t="s">
        <v>193</v>
      </c>
    </row>
    <row r="25" spans="1:8" ht="18" customHeight="1" x14ac:dyDescent="0.25">
      <c r="A25" s="201" t="s">
        <v>259</v>
      </c>
      <c r="B25" s="201" t="s">
        <v>60</v>
      </c>
      <c r="C25" s="203" t="s">
        <v>260</v>
      </c>
      <c r="D25" s="201" t="s">
        <v>88</v>
      </c>
      <c r="E25" s="201" t="s">
        <v>228</v>
      </c>
      <c r="F25" s="201" t="s">
        <v>192</v>
      </c>
      <c r="G25" s="201"/>
      <c r="H25" s="201" t="s">
        <v>193</v>
      </c>
    </row>
    <row r="26" spans="1:8" ht="15" customHeight="1" x14ac:dyDescent="0.25">
      <c r="A26" s="201" t="s">
        <v>261</v>
      </c>
      <c r="B26" s="201" t="s">
        <v>262</v>
      </c>
      <c r="C26" s="202" t="s">
        <v>263</v>
      </c>
      <c r="D26" s="201" t="s">
        <v>196</v>
      </c>
      <c r="E26" s="201" t="s">
        <v>196</v>
      </c>
      <c r="F26" s="201" t="s">
        <v>192</v>
      </c>
      <c r="G26" s="201"/>
      <c r="H26" s="201" t="s">
        <v>193</v>
      </c>
    </row>
    <row r="27" spans="1:8" ht="21" customHeight="1" x14ac:dyDescent="0.25">
      <c r="A27" s="201" t="s">
        <v>264</v>
      </c>
      <c r="B27" s="201" t="s">
        <v>265</v>
      </c>
      <c r="C27" s="202">
        <v>94652225</v>
      </c>
      <c r="D27" s="201" t="s">
        <v>227</v>
      </c>
      <c r="E27" s="201" t="s">
        <v>208</v>
      </c>
      <c r="F27" s="201" t="s">
        <v>192</v>
      </c>
      <c r="G27" s="201"/>
      <c r="H27" s="201" t="s">
        <v>193</v>
      </c>
    </row>
    <row r="28" spans="1:8" x14ac:dyDescent="0.25">
      <c r="A28" s="201" t="s">
        <v>266</v>
      </c>
      <c r="B28" s="201" t="s">
        <v>58</v>
      </c>
      <c r="C28" s="202" t="s">
        <v>267</v>
      </c>
      <c r="D28" s="201" t="s">
        <v>268</v>
      </c>
      <c r="E28" s="201"/>
      <c r="F28" s="201" t="s">
        <v>192</v>
      </c>
      <c r="G28" s="201"/>
      <c r="H28" s="201" t="s">
        <v>193</v>
      </c>
    </row>
    <row r="29" spans="1:8" x14ac:dyDescent="0.25">
      <c r="A29" s="201" t="s">
        <v>269</v>
      </c>
      <c r="B29" s="201" t="s">
        <v>77</v>
      </c>
      <c r="C29" s="202" t="s">
        <v>270</v>
      </c>
      <c r="D29" s="201" t="s">
        <v>227</v>
      </c>
      <c r="E29" s="201" t="s">
        <v>240</v>
      </c>
      <c r="F29" s="201" t="s">
        <v>192</v>
      </c>
      <c r="G29" s="201"/>
      <c r="H29" s="201" t="s">
        <v>193</v>
      </c>
    </row>
    <row r="30" spans="1:8" x14ac:dyDescent="0.25">
      <c r="A30" s="201" t="s">
        <v>271</v>
      </c>
      <c r="B30" s="201" t="s">
        <v>62</v>
      </c>
      <c r="C30" s="202">
        <v>96970002</v>
      </c>
      <c r="D30" s="201" t="s">
        <v>190</v>
      </c>
      <c r="E30" s="201" t="s">
        <v>191</v>
      </c>
      <c r="F30" s="201" t="s">
        <v>192</v>
      </c>
      <c r="G30" s="201"/>
      <c r="H30" s="201" t="s">
        <v>193</v>
      </c>
    </row>
    <row r="31" spans="1:8" x14ac:dyDescent="0.25">
      <c r="A31" s="201" t="s">
        <v>272</v>
      </c>
      <c r="B31" s="201" t="s">
        <v>273</v>
      </c>
      <c r="C31" s="202">
        <v>93518096</v>
      </c>
      <c r="D31" s="201" t="s">
        <v>212</v>
      </c>
      <c r="E31" s="201" t="s">
        <v>196</v>
      </c>
      <c r="F31" s="201" t="s">
        <v>192</v>
      </c>
      <c r="G31" s="201"/>
      <c r="H31" s="201" t="s">
        <v>193</v>
      </c>
    </row>
    <row r="32" spans="1:8" x14ac:dyDescent="0.25">
      <c r="A32" s="201" t="s">
        <v>274</v>
      </c>
      <c r="B32" s="201" t="s">
        <v>59</v>
      </c>
      <c r="C32" s="202">
        <v>33647571</v>
      </c>
      <c r="D32" s="201" t="s">
        <v>200</v>
      </c>
      <c r="E32" s="201" t="s">
        <v>208</v>
      </c>
      <c r="F32" s="201" t="s">
        <v>192</v>
      </c>
      <c r="G32" s="201"/>
      <c r="H32" s="201" t="s">
        <v>193</v>
      </c>
    </row>
    <row r="33" spans="1:8" x14ac:dyDescent="0.25">
      <c r="A33" s="201" t="s">
        <v>275</v>
      </c>
      <c r="B33" s="201" t="s">
        <v>276</v>
      </c>
      <c r="C33" s="202">
        <v>89417578</v>
      </c>
      <c r="D33" s="201" t="s">
        <v>190</v>
      </c>
      <c r="E33" s="201" t="s">
        <v>196</v>
      </c>
      <c r="F33" s="201" t="s">
        <v>192</v>
      </c>
      <c r="G33" s="201"/>
      <c r="H33" s="201" t="s">
        <v>193</v>
      </c>
    </row>
    <row r="34" spans="1:8" x14ac:dyDescent="0.25">
      <c r="A34" s="201" t="s">
        <v>277</v>
      </c>
      <c r="B34" s="201" t="s">
        <v>69</v>
      </c>
      <c r="C34" s="202">
        <v>94546478</v>
      </c>
      <c r="D34" s="201" t="s">
        <v>278</v>
      </c>
      <c r="E34" s="201" t="s">
        <v>228</v>
      </c>
      <c r="F34" s="201" t="s">
        <v>192</v>
      </c>
      <c r="G34" s="201"/>
      <c r="H34" s="201" t="s">
        <v>193</v>
      </c>
    </row>
    <row r="35" spans="1:8" x14ac:dyDescent="0.25">
      <c r="A35" s="201" t="s">
        <v>279</v>
      </c>
      <c r="B35" s="201" t="s">
        <v>179</v>
      </c>
      <c r="C35" s="202">
        <v>99909478</v>
      </c>
      <c r="D35" s="201" t="s">
        <v>196</v>
      </c>
      <c r="E35" s="201" t="s">
        <v>196</v>
      </c>
      <c r="F35" s="201" t="s">
        <v>192</v>
      </c>
      <c r="G35" s="201"/>
      <c r="H35" s="201" t="s">
        <v>193</v>
      </c>
    </row>
    <row r="36" spans="1:8" x14ac:dyDescent="0.25">
      <c r="A36" s="201" t="s">
        <v>280</v>
      </c>
      <c r="B36" s="201" t="s">
        <v>281</v>
      </c>
      <c r="C36" s="203" t="s">
        <v>282</v>
      </c>
      <c r="D36" s="201" t="s">
        <v>200</v>
      </c>
      <c r="E36" s="201" t="s">
        <v>228</v>
      </c>
      <c r="F36" s="201" t="s">
        <v>192</v>
      </c>
      <c r="G36" s="201"/>
      <c r="H36" s="201" t="s">
        <v>193</v>
      </c>
    </row>
    <row r="37" spans="1:8" x14ac:dyDescent="0.25">
      <c r="A37" s="201" t="s">
        <v>283</v>
      </c>
      <c r="B37" s="201" t="s">
        <v>284</v>
      </c>
      <c r="C37" s="203" t="s">
        <v>285</v>
      </c>
      <c r="D37" s="201" t="s">
        <v>190</v>
      </c>
      <c r="E37" s="201" t="s">
        <v>191</v>
      </c>
      <c r="F37" s="201" t="s">
        <v>192</v>
      </c>
      <c r="G37" s="201"/>
      <c r="H37" s="201" t="s">
        <v>193</v>
      </c>
    </row>
    <row r="38" spans="1:8" x14ac:dyDescent="0.25">
      <c r="A38" s="201" t="s">
        <v>286</v>
      </c>
      <c r="B38" s="201" t="s">
        <v>287</v>
      </c>
      <c r="C38" s="203" t="s">
        <v>288</v>
      </c>
      <c r="D38" s="201" t="s">
        <v>196</v>
      </c>
      <c r="E38" s="201" t="s">
        <v>197</v>
      </c>
      <c r="F38" s="201" t="s">
        <v>192</v>
      </c>
      <c r="G38" s="201"/>
      <c r="H38" s="201" t="s">
        <v>193</v>
      </c>
    </row>
    <row r="39" spans="1:8" x14ac:dyDescent="0.25">
      <c r="A39" s="201" t="s">
        <v>289</v>
      </c>
      <c r="B39" s="201" t="s">
        <v>164</v>
      </c>
      <c r="C39" s="202">
        <v>32487353</v>
      </c>
      <c r="D39" s="201" t="s">
        <v>239</v>
      </c>
      <c r="E39" s="201" t="s">
        <v>208</v>
      </c>
      <c r="F39" s="201" t="s">
        <v>192</v>
      </c>
      <c r="G39" s="201"/>
      <c r="H39" s="201" t="s">
        <v>193</v>
      </c>
    </row>
    <row r="40" spans="1:8" x14ac:dyDescent="0.25">
      <c r="A40" s="201" t="s">
        <v>290</v>
      </c>
      <c r="B40" s="201" t="s">
        <v>68</v>
      </c>
      <c r="C40" s="202">
        <v>33323464</v>
      </c>
      <c r="D40" s="201" t="s">
        <v>239</v>
      </c>
      <c r="E40" s="201" t="s">
        <v>240</v>
      </c>
      <c r="F40" s="201" t="s">
        <v>192</v>
      </c>
      <c r="G40" s="201"/>
      <c r="H40" s="201" t="s">
        <v>193</v>
      </c>
    </row>
    <row r="41" spans="1:8" x14ac:dyDescent="0.25">
      <c r="A41" s="201" t="s">
        <v>291</v>
      </c>
      <c r="B41" s="201" t="s">
        <v>57</v>
      </c>
      <c r="C41" s="203" t="s">
        <v>292</v>
      </c>
      <c r="D41" s="201" t="s">
        <v>227</v>
      </c>
      <c r="E41" s="201" t="s">
        <v>201</v>
      </c>
      <c r="F41" s="201" t="s">
        <v>192</v>
      </c>
      <c r="G41" s="201"/>
      <c r="H41" s="201" t="s">
        <v>193</v>
      </c>
    </row>
    <row r="42" spans="1:8" x14ac:dyDescent="0.25">
      <c r="A42" s="201" t="s">
        <v>293</v>
      </c>
      <c r="B42" s="201" t="s">
        <v>294</v>
      </c>
      <c r="C42" s="203" t="s">
        <v>295</v>
      </c>
      <c r="D42" s="201" t="s">
        <v>212</v>
      </c>
      <c r="E42" s="201" t="s">
        <v>228</v>
      </c>
      <c r="F42" s="201" t="s">
        <v>192</v>
      </c>
      <c r="G42" s="201"/>
      <c r="H42" s="201" t="s">
        <v>193</v>
      </c>
    </row>
    <row r="43" spans="1:8" x14ac:dyDescent="0.25">
      <c r="A43" s="201" t="s">
        <v>296</v>
      </c>
      <c r="B43" s="201" t="s">
        <v>297</v>
      </c>
      <c r="C43" s="203" t="s">
        <v>298</v>
      </c>
      <c r="D43" s="201" t="s">
        <v>212</v>
      </c>
      <c r="E43" s="201" t="s">
        <v>228</v>
      </c>
      <c r="F43" s="201" t="s">
        <v>192</v>
      </c>
      <c r="G43" s="201"/>
      <c r="H43" s="201" t="s">
        <v>193</v>
      </c>
    </row>
    <row r="44" spans="1:8" x14ac:dyDescent="0.25">
      <c r="A44" s="201" t="s">
        <v>299</v>
      </c>
      <c r="B44" s="201" t="s">
        <v>300</v>
      </c>
      <c r="C44" s="203">
        <v>97174763</v>
      </c>
      <c r="D44" s="201" t="s">
        <v>200</v>
      </c>
      <c r="E44" s="201" t="s">
        <v>196</v>
      </c>
      <c r="F44" s="201" t="s">
        <v>192</v>
      </c>
      <c r="G44" s="201"/>
      <c r="H44" s="201" t="s">
        <v>193</v>
      </c>
    </row>
    <row r="45" spans="1:8" x14ac:dyDescent="0.25">
      <c r="A45" s="201" t="s">
        <v>301</v>
      </c>
      <c r="B45" s="201" t="s">
        <v>170</v>
      </c>
      <c r="C45" s="203" t="s">
        <v>302</v>
      </c>
      <c r="D45" s="201" t="s">
        <v>239</v>
      </c>
      <c r="E45" s="201" t="s">
        <v>240</v>
      </c>
      <c r="F45" s="201" t="s">
        <v>192</v>
      </c>
      <c r="G45" s="201"/>
      <c r="H45" s="201" t="s">
        <v>193</v>
      </c>
    </row>
    <row r="46" spans="1:8" x14ac:dyDescent="0.25">
      <c r="A46" s="201" t="s">
        <v>303</v>
      </c>
      <c r="B46" s="201" t="s">
        <v>304</v>
      </c>
      <c r="C46" s="203" t="s">
        <v>305</v>
      </c>
      <c r="D46" s="201" t="s">
        <v>196</v>
      </c>
      <c r="E46" s="201" t="s">
        <v>201</v>
      </c>
      <c r="F46" s="201" t="s">
        <v>192</v>
      </c>
      <c r="G46" s="201"/>
      <c r="H46" s="201" t="s">
        <v>193</v>
      </c>
    </row>
    <row r="47" spans="1:8" x14ac:dyDescent="0.25">
      <c r="A47" s="201" t="s">
        <v>306</v>
      </c>
      <c r="B47" s="201" t="s">
        <v>307</v>
      </c>
      <c r="C47" s="203" t="s">
        <v>308</v>
      </c>
      <c r="D47" s="201" t="s">
        <v>200</v>
      </c>
      <c r="E47" s="201" t="s">
        <v>197</v>
      </c>
      <c r="F47" s="201" t="s">
        <v>192</v>
      </c>
      <c r="G47" s="201"/>
      <c r="H47" s="201" t="s">
        <v>193</v>
      </c>
    </row>
    <row r="48" spans="1:8" x14ac:dyDescent="0.25">
      <c r="A48" s="201" t="s">
        <v>309</v>
      </c>
      <c r="B48" s="201" t="s">
        <v>310</v>
      </c>
      <c r="C48" s="202">
        <v>94805781</v>
      </c>
      <c r="D48" s="201" t="s">
        <v>196</v>
      </c>
      <c r="E48" s="201" t="s">
        <v>208</v>
      </c>
      <c r="F48" s="201" t="s">
        <v>192</v>
      </c>
      <c r="G48" s="201"/>
      <c r="H48" s="201" t="s">
        <v>193</v>
      </c>
    </row>
    <row r="49" spans="1:8" x14ac:dyDescent="0.25">
      <c r="A49" s="201" t="s">
        <v>311</v>
      </c>
      <c r="B49" s="201" t="s">
        <v>165</v>
      </c>
      <c r="C49" s="202">
        <v>95501700</v>
      </c>
      <c r="D49" s="201" t="s">
        <v>190</v>
      </c>
      <c r="E49" s="201" t="s">
        <v>191</v>
      </c>
      <c r="F49" s="201" t="s">
        <v>192</v>
      </c>
      <c r="G49" s="201">
        <v>5</v>
      </c>
      <c r="H49" s="201" t="s">
        <v>193</v>
      </c>
    </row>
    <row r="50" spans="1:8" x14ac:dyDescent="0.25">
      <c r="A50" s="201" t="s">
        <v>312</v>
      </c>
      <c r="B50" s="201" t="s">
        <v>313</v>
      </c>
      <c r="C50" s="202">
        <v>99909480</v>
      </c>
      <c r="D50" s="201" t="s">
        <v>196</v>
      </c>
      <c r="E50" s="201" t="s">
        <v>201</v>
      </c>
      <c r="F50" s="201" t="s">
        <v>192</v>
      </c>
      <c r="G50" s="201"/>
      <c r="H50" s="201" t="s">
        <v>193</v>
      </c>
    </row>
    <row r="51" spans="1:8" x14ac:dyDescent="0.25">
      <c r="A51" s="201" t="s">
        <v>314</v>
      </c>
      <c r="B51" s="201" t="s">
        <v>315</v>
      </c>
      <c r="C51" s="202">
        <v>89554693</v>
      </c>
      <c r="D51" s="201" t="s">
        <v>316</v>
      </c>
      <c r="E51" s="201" t="s">
        <v>197</v>
      </c>
      <c r="F51" s="201" t="s">
        <v>192</v>
      </c>
      <c r="G51" s="201"/>
      <c r="H51" s="201" t="s">
        <v>193</v>
      </c>
    </row>
    <row r="52" spans="1:8" x14ac:dyDescent="0.25">
      <c r="A52" s="201" t="s">
        <v>317</v>
      </c>
      <c r="B52" s="201" t="s">
        <v>318</v>
      </c>
      <c r="C52" s="202">
        <v>94706222</v>
      </c>
      <c r="D52" s="201" t="s">
        <v>190</v>
      </c>
      <c r="E52" s="201" t="s">
        <v>201</v>
      </c>
      <c r="F52" s="201" t="s">
        <v>192</v>
      </c>
      <c r="G52" s="201"/>
      <c r="H52" s="201" t="s">
        <v>193</v>
      </c>
    </row>
    <row r="53" spans="1:8" x14ac:dyDescent="0.25">
      <c r="A53" s="201" t="s">
        <v>319</v>
      </c>
      <c r="B53" s="201" t="s">
        <v>320</v>
      </c>
      <c r="C53" s="203" t="s">
        <v>321</v>
      </c>
      <c r="D53" s="201" t="s">
        <v>190</v>
      </c>
      <c r="E53" s="201" t="s">
        <v>191</v>
      </c>
      <c r="F53" s="201" t="s">
        <v>192</v>
      </c>
      <c r="G53" s="201"/>
      <c r="H53" s="201" t="s">
        <v>193</v>
      </c>
    </row>
    <row r="54" spans="1:8" x14ac:dyDescent="0.25">
      <c r="A54" s="201" t="s">
        <v>322</v>
      </c>
      <c r="B54" s="201" t="s">
        <v>323</v>
      </c>
      <c r="C54" s="203" t="s">
        <v>324</v>
      </c>
      <c r="D54" s="201" t="s">
        <v>200</v>
      </c>
      <c r="E54" s="201" t="s">
        <v>208</v>
      </c>
      <c r="F54" s="201" t="s">
        <v>192</v>
      </c>
      <c r="G54" s="201"/>
      <c r="H54" s="201" t="s">
        <v>193</v>
      </c>
    </row>
    <row r="55" spans="1:8" x14ac:dyDescent="0.25">
      <c r="A55" s="201" t="s">
        <v>325</v>
      </c>
      <c r="B55" s="201" t="s">
        <v>326</v>
      </c>
      <c r="C55" s="203" t="s">
        <v>327</v>
      </c>
      <c r="D55" s="201" t="s">
        <v>190</v>
      </c>
      <c r="E55" s="201" t="s">
        <v>201</v>
      </c>
      <c r="F55" s="201" t="s">
        <v>192</v>
      </c>
      <c r="G55" s="201"/>
      <c r="H55" s="201" t="s">
        <v>193</v>
      </c>
    </row>
    <row r="56" spans="1:8" x14ac:dyDescent="0.25">
      <c r="A56" s="201" t="s">
        <v>328</v>
      </c>
      <c r="B56" s="201" t="s">
        <v>329</v>
      </c>
      <c r="C56" s="203" t="s">
        <v>330</v>
      </c>
      <c r="D56" s="201" t="s">
        <v>200</v>
      </c>
      <c r="E56" s="201" t="s">
        <v>240</v>
      </c>
      <c r="F56" s="201" t="s">
        <v>192</v>
      </c>
      <c r="G56" s="201"/>
      <c r="H56" s="201" t="s">
        <v>193</v>
      </c>
    </row>
    <row r="57" spans="1:8" x14ac:dyDescent="0.25">
      <c r="A57" s="201" t="s">
        <v>331</v>
      </c>
      <c r="B57" s="201" t="s">
        <v>332</v>
      </c>
      <c r="C57" s="202" t="s">
        <v>333</v>
      </c>
      <c r="D57" s="201" t="s">
        <v>196</v>
      </c>
      <c r="E57" s="201" t="s">
        <v>228</v>
      </c>
      <c r="F57" s="201" t="s">
        <v>192</v>
      </c>
      <c r="G57" s="201"/>
      <c r="H57" s="201" t="s">
        <v>193</v>
      </c>
    </row>
    <row r="58" spans="1:8" x14ac:dyDescent="0.25">
      <c r="A58" s="201" t="s">
        <v>334</v>
      </c>
      <c r="B58" s="201" t="s">
        <v>61</v>
      </c>
      <c r="C58" s="203" t="s">
        <v>335</v>
      </c>
      <c r="D58" s="201" t="s">
        <v>212</v>
      </c>
      <c r="E58" s="201" t="s">
        <v>240</v>
      </c>
      <c r="F58" s="201" t="s">
        <v>192</v>
      </c>
      <c r="G58" s="201"/>
      <c r="H58" s="201" t="s">
        <v>193</v>
      </c>
    </row>
    <row r="59" spans="1:8" x14ac:dyDescent="0.25">
      <c r="A59" s="201" t="s">
        <v>336</v>
      </c>
      <c r="B59" s="201" t="s">
        <v>337</v>
      </c>
      <c r="C59" s="203" t="s">
        <v>338</v>
      </c>
      <c r="D59" s="201" t="s">
        <v>200</v>
      </c>
      <c r="E59" s="201" t="s">
        <v>201</v>
      </c>
      <c r="F59" s="201" t="s">
        <v>192</v>
      </c>
      <c r="G59" s="201"/>
      <c r="H59" s="201" t="s">
        <v>193</v>
      </c>
    </row>
    <row r="60" spans="1:8" x14ac:dyDescent="0.25">
      <c r="A60" s="201" t="s">
        <v>339</v>
      </c>
      <c r="B60" s="201" t="s">
        <v>340</v>
      </c>
      <c r="C60" s="203" t="s">
        <v>341</v>
      </c>
      <c r="D60" s="201" t="s">
        <v>212</v>
      </c>
      <c r="E60" s="201" t="s">
        <v>240</v>
      </c>
      <c r="F60" s="201" t="s">
        <v>192</v>
      </c>
      <c r="G60" s="201"/>
      <c r="H60" s="201" t="s">
        <v>193</v>
      </c>
    </row>
    <row r="61" spans="1:8" x14ac:dyDescent="0.25">
      <c r="A61" s="201" t="s">
        <v>342</v>
      </c>
      <c r="B61" s="201" t="s">
        <v>343</v>
      </c>
      <c r="C61" s="203" t="s">
        <v>344</v>
      </c>
      <c r="D61" s="201" t="s">
        <v>196</v>
      </c>
      <c r="E61" s="201" t="s">
        <v>196</v>
      </c>
      <c r="F61" s="201" t="s">
        <v>192</v>
      </c>
      <c r="G61" s="201"/>
      <c r="H61" s="201" t="s">
        <v>193</v>
      </c>
    </row>
    <row r="62" spans="1:8" x14ac:dyDescent="0.25">
      <c r="A62" s="201" t="s">
        <v>345</v>
      </c>
      <c r="B62" s="201" t="s">
        <v>346</v>
      </c>
      <c r="C62" s="203" t="s">
        <v>347</v>
      </c>
      <c r="D62" s="201" t="s">
        <v>227</v>
      </c>
      <c r="E62" s="201" t="s">
        <v>201</v>
      </c>
      <c r="F62" s="201" t="s">
        <v>192</v>
      </c>
      <c r="G62" s="201"/>
      <c r="H62" s="201" t="s">
        <v>193</v>
      </c>
    </row>
    <row r="63" spans="1:8" x14ac:dyDescent="0.25">
      <c r="A63" s="201" t="s">
        <v>348</v>
      </c>
      <c r="B63" s="201" t="s">
        <v>349</v>
      </c>
      <c r="C63" s="203" t="s">
        <v>350</v>
      </c>
      <c r="D63" s="201" t="s">
        <v>200</v>
      </c>
      <c r="E63" s="201" t="s">
        <v>208</v>
      </c>
      <c r="F63" s="201" t="s">
        <v>192</v>
      </c>
      <c r="G63" s="201"/>
      <c r="H63" s="201" t="s">
        <v>193</v>
      </c>
    </row>
    <row r="64" spans="1:8" x14ac:dyDescent="0.25">
      <c r="A64" s="201" t="s">
        <v>351</v>
      </c>
      <c r="B64" s="201" t="s">
        <v>76</v>
      </c>
      <c r="C64" s="202" t="s">
        <v>352</v>
      </c>
      <c r="D64" s="201" t="s">
        <v>196</v>
      </c>
      <c r="E64" s="201" t="s">
        <v>240</v>
      </c>
      <c r="F64" s="201" t="s">
        <v>192</v>
      </c>
      <c r="G64" s="201"/>
      <c r="H64" s="201" t="s">
        <v>193</v>
      </c>
    </row>
    <row r="65" spans="1:8" x14ac:dyDescent="0.25">
      <c r="A65" s="201" t="s">
        <v>353</v>
      </c>
      <c r="B65" s="201" t="s">
        <v>71</v>
      </c>
      <c r="C65" s="203" t="s">
        <v>354</v>
      </c>
      <c r="D65" s="201" t="s">
        <v>212</v>
      </c>
      <c r="E65" s="201" t="s">
        <v>208</v>
      </c>
      <c r="F65" s="201" t="s">
        <v>192</v>
      </c>
      <c r="G65" s="201"/>
      <c r="H65" s="201" t="s">
        <v>193</v>
      </c>
    </row>
    <row r="66" spans="1:8" x14ac:dyDescent="0.25">
      <c r="A66" s="201" t="s">
        <v>355</v>
      </c>
      <c r="B66" s="201" t="s">
        <v>64</v>
      </c>
      <c r="C66" s="202" t="s">
        <v>356</v>
      </c>
      <c r="D66" s="201" t="s">
        <v>227</v>
      </c>
      <c r="E66" s="201" t="s">
        <v>197</v>
      </c>
      <c r="F66" s="201" t="s">
        <v>192</v>
      </c>
      <c r="G66" s="201"/>
      <c r="H66" s="201" t="s">
        <v>193</v>
      </c>
    </row>
    <row r="67" spans="1:8" x14ac:dyDescent="0.25">
      <c r="A67" s="201" t="s">
        <v>357</v>
      </c>
      <c r="B67" s="201" t="s">
        <v>358</v>
      </c>
      <c r="C67" s="203" t="s">
        <v>359</v>
      </c>
      <c r="D67" s="201" t="s">
        <v>227</v>
      </c>
      <c r="E67" s="201" t="s">
        <v>240</v>
      </c>
      <c r="F67" s="201" t="s">
        <v>192</v>
      </c>
      <c r="G67" s="201"/>
      <c r="H67" s="201" t="s">
        <v>193</v>
      </c>
    </row>
    <row r="68" spans="1:8" x14ac:dyDescent="0.25">
      <c r="A68" s="201" t="s">
        <v>360</v>
      </c>
      <c r="B68" s="201" t="s">
        <v>75</v>
      </c>
      <c r="C68" s="203" t="s">
        <v>361</v>
      </c>
      <c r="D68" s="201" t="s">
        <v>190</v>
      </c>
      <c r="E68" s="201" t="s">
        <v>228</v>
      </c>
      <c r="F68" s="201" t="s">
        <v>192</v>
      </c>
      <c r="G68" s="201"/>
      <c r="H68" s="201" t="s">
        <v>193</v>
      </c>
    </row>
    <row r="69" spans="1:8" x14ac:dyDescent="0.25">
      <c r="A69" s="201" t="s">
        <v>362</v>
      </c>
      <c r="B69" s="201" t="s">
        <v>363</v>
      </c>
      <c r="C69" s="203" t="s">
        <v>364</v>
      </c>
      <c r="D69" s="201" t="s">
        <v>212</v>
      </c>
      <c r="E69" s="201" t="s">
        <v>196</v>
      </c>
      <c r="F69" s="201" t="s">
        <v>192</v>
      </c>
      <c r="G69" s="201"/>
      <c r="H69" s="201" t="s">
        <v>193</v>
      </c>
    </row>
    <row r="70" spans="1:8" x14ac:dyDescent="0.25">
      <c r="A70" s="201" t="s">
        <v>365</v>
      </c>
      <c r="B70" s="201" t="s">
        <v>366</v>
      </c>
      <c r="C70" s="203" t="s">
        <v>367</v>
      </c>
      <c r="D70" s="201" t="s">
        <v>239</v>
      </c>
      <c r="E70" s="201" t="s">
        <v>208</v>
      </c>
      <c r="F70" s="201" t="s">
        <v>192</v>
      </c>
      <c r="G70" s="201"/>
      <c r="H70" s="201" t="s">
        <v>193</v>
      </c>
    </row>
    <row r="71" spans="1:8" x14ac:dyDescent="0.25">
      <c r="A71" s="201" t="s">
        <v>368</v>
      </c>
      <c r="B71" s="201" t="s">
        <v>74</v>
      </c>
      <c r="C71" s="202" t="s">
        <v>369</v>
      </c>
      <c r="D71" s="201" t="s">
        <v>200</v>
      </c>
      <c r="E71" s="201" t="s">
        <v>208</v>
      </c>
      <c r="F71" s="201" t="s">
        <v>192</v>
      </c>
      <c r="G71" s="201"/>
      <c r="H71" s="201" t="s">
        <v>193</v>
      </c>
    </row>
    <row r="72" spans="1:8" x14ac:dyDescent="0.25">
      <c r="A72" s="201" t="s">
        <v>370</v>
      </c>
      <c r="B72" s="201" t="s">
        <v>371</v>
      </c>
      <c r="C72" s="203" t="s">
        <v>372</v>
      </c>
      <c r="D72" s="201" t="s">
        <v>196</v>
      </c>
      <c r="E72" s="201" t="s">
        <v>228</v>
      </c>
      <c r="F72" s="201" t="s">
        <v>192</v>
      </c>
      <c r="G72" s="201"/>
      <c r="H72" s="201" t="s">
        <v>193</v>
      </c>
    </row>
    <row r="73" spans="1:8" x14ac:dyDescent="0.25">
      <c r="A73" s="201" t="s">
        <v>373</v>
      </c>
      <c r="B73" s="201" t="s">
        <v>65</v>
      </c>
      <c r="C73" s="202" t="s">
        <v>374</v>
      </c>
      <c r="D73" s="201" t="s">
        <v>200</v>
      </c>
      <c r="E73" s="201" t="s">
        <v>191</v>
      </c>
      <c r="F73" s="201" t="s">
        <v>192</v>
      </c>
      <c r="G73" s="201"/>
      <c r="H73" s="201" t="s">
        <v>193</v>
      </c>
    </row>
    <row r="74" spans="1:8" x14ac:dyDescent="0.25">
      <c r="A74" s="201" t="s">
        <v>375</v>
      </c>
      <c r="B74" s="201" t="s">
        <v>376</v>
      </c>
      <c r="C74" s="202">
        <v>99909479</v>
      </c>
      <c r="D74" s="201" t="s">
        <v>239</v>
      </c>
      <c r="E74" s="201" t="s">
        <v>228</v>
      </c>
      <c r="F74" s="201" t="s">
        <v>192</v>
      </c>
      <c r="G74" s="201"/>
      <c r="H74" s="201" t="s">
        <v>193</v>
      </c>
    </row>
    <row r="75" spans="1:8" x14ac:dyDescent="0.25">
      <c r="A75" s="201" t="s">
        <v>377</v>
      </c>
      <c r="B75" s="201" t="s">
        <v>378</v>
      </c>
      <c r="C75" s="203" t="s">
        <v>379</v>
      </c>
      <c r="D75" s="201" t="s">
        <v>212</v>
      </c>
      <c r="E75" s="201" t="s">
        <v>197</v>
      </c>
      <c r="F75" s="201" t="s">
        <v>192</v>
      </c>
      <c r="G75" s="201"/>
      <c r="H75" s="201" t="s">
        <v>193</v>
      </c>
    </row>
    <row r="76" spans="1:8" x14ac:dyDescent="0.25">
      <c r="A76" s="201" t="s">
        <v>380</v>
      </c>
      <c r="B76" s="201" t="s">
        <v>381</v>
      </c>
      <c r="C76" s="203" t="s">
        <v>382</v>
      </c>
      <c r="D76" s="201" t="s">
        <v>200</v>
      </c>
      <c r="E76" s="201" t="s">
        <v>228</v>
      </c>
      <c r="F76" s="201" t="s">
        <v>192</v>
      </c>
      <c r="G76" s="201"/>
      <c r="H76" s="201" t="s">
        <v>193</v>
      </c>
    </row>
    <row r="77" spans="1:8" x14ac:dyDescent="0.25">
      <c r="A77" s="201" t="s">
        <v>383</v>
      </c>
      <c r="B77" s="201" t="s">
        <v>384</v>
      </c>
      <c r="C77" s="202">
        <v>99315120</v>
      </c>
      <c r="D77" s="201" t="s">
        <v>196</v>
      </c>
      <c r="E77" s="201" t="s">
        <v>197</v>
      </c>
      <c r="F77" s="201" t="s">
        <v>385</v>
      </c>
      <c r="G77" s="201"/>
      <c r="H77" s="201" t="s">
        <v>193</v>
      </c>
    </row>
    <row r="78" spans="1:8" x14ac:dyDescent="0.25">
      <c r="A78" s="201" t="s">
        <v>386</v>
      </c>
      <c r="B78" s="201" t="s">
        <v>387</v>
      </c>
      <c r="C78" s="203" t="s">
        <v>388</v>
      </c>
      <c r="D78" s="201" t="s">
        <v>196</v>
      </c>
      <c r="E78" s="201" t="s">
        <v>197</v>
      </c>
      <c r="F78" s="201" t="s">
        <v>192</v>
      </c>
      <c r="G78" s="201"/>
      <c r="H78" s="201" t="s">
        <v>193</v>
      </c>
    </row>
    <row r="79" spans="1:8" x14ac:dyDescent="0.25">
      <c r="A79" s="201" t="s">
        <v>389</v>
      </c>
      <c r="B79" s="201" t="s">
        <v>390</v>
      </c>
      <c r="C79" s="203" t="s">
        <v>391</v>
      </c>
      <c r="D79" s="201" t="s">
        <v>196</v>
      </c>
      <c r="E79" s="201" t="s">
        <v>197</v>
      </c>
      <c r="F79" s="201" t="s">
        <v>192</v>
      </c>
      <c r="G79" s="201"/>
      <c r="H79" s="201" t="s">
        <v>193</v>
      </c>
    </row>
  </sheetData>
  <autoFilter ref="A1:H1" xr:uid="{B0D87AC2-0A96-4544-A0FA-B2AD56A6D5BD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BC27-048B-49CB-B39A-C26D5DA10F4E}">
  <dimension ref="A1:F7"/>
  <sheetViews>
    <sheetView workbookViewId="0">
      <selection activeCell="B7" sqref="B7"/>
    </sheetView>
  </sheetViews>
  <sheetFormatPr baseColWidth="10" defaultRowHeight="15" x14ac:dyDescent="0.25"/>
  <cols>
    <col min="1" max="1" width="18.140625" customWidth="1"/>
    <col min="2" max="2" width="40.28515625" customWidth="1"/>
    <col min="3" max="3" width="19.85546875" customWidth="1"/>
    <col min="4" max="4" width="16.140625" customWidth="1"/>
    <col min="5" max="5" width="41.85546875" customWidth="1"/>
    <col min="6" max="6" width="25.5703125" customWidth="1"/>
    <col min="25" max="25" width="11.42578125" customWidth="1"/>
  </cols>
  <sheetData>
    <row r="1" spans="1:6" ht="21" x14ac:dyDescent="0.35">
      <c r="A1" s="128" t="s">
        <v>138</v>
      </c>
      <c r="B1" s="128"/>
      <c r="C1" s="128"/>
    </row>
    <row r="2" spans="1:6" x14ac:dyDescent="0.25">
      <c r="A2" s="188" t="s">
        <v>139</v>
      </c>
      <c r="B2" s="189"/>
      <c r="C2" s="190"/>
      <c r="D2" s="191" t="s">
        <v>147</v>
      </c>
      <c r="E2" s="191"/>
      <c r="F2" s="191"/>
    </row>
    <row r="3" spans="1:6" x14ac:dyDescent="0.25">
      <c r="A3" s="132" t="s">
        <v>145</v>
      </c>
      <c r="B3" s="133" t="s">
        <v>146</v>
      </c>
      <c r="C3" s="133" t="s">
        <v>152</v>
      </c>
      <c r="D3" s="134" t="s">
        <v>145</v>
      </c>
      <c r="E3" s="135" t="s">
        <v>146</v>
      </c>
      <c r="F3" s="136" t="s">
        <v>152</v>
      </c>
    </row>
    <row r="4" spans="1:6" ht="54" customHeight="1" x14ac:dyDescent="0.25">
      <c r="A4" s="193" t="s">
        <v>148</v>
      </c>
      <c r="B4" s="205" t="s">
        <v>140</v>
      </c>
      <c r="C4" s="186" t="s">
        <v>144</v>
      </c>
      <c r="D4" s="194" t="s">
        <v>151</v>
      </c>
      <c r="E4" s="130" t="s">
        <v>82</v>
      </c>
      <c r="F4" s="131" t="s">
        <v>153</v>
      </c>
    </row>
    <row r="5" spans="1:6" ht="45.75" customHeight="1" x14ac:dyDescent="0.25">
      <c r="A5" s="193"/>
      <c r="B5" s="205" t="s">
        <v>141</v>
      </c>
      <c r="C5" s="187"/>
      <c r="D5" s="194"/>
      <c r="E5" s="131" t="s">
        <v>149</v>
      </c>
      <c r="F5" s="192" t="s">
        <v>154</v>
      </c>
    </row>
    <row r="6" spans="1:6" ht="27" customHeight="1" x14ac:dyDescent="0.25">
      <c r="A6" s="193"/>
      <c r="B6" s="205" t="s">
        <v>142</v>
      </c>
      <c r="C6" s="129"/>
      <c r="D6" s="194"/>
      <c r="E6" s="129" t="s">
        <v>150</v>
      </c>
      <c r="F6" s="192"/>
    </row>
    <row r="7" spans="1:6" ht="32.25" customHeight="1" x14ac:dyDescent="0.25">
      <c r="A7" s="193"/>
      <c r="B7" s="206" t="s">
        <v>143</v>
      </c>
      <c r="C7" s="129"/>
      <c r="D7" s="194"/>
      <c r="E7" s="129"/>
      <c r="F7" s="127"/>
    </row>
  </sheetData>
  <mergeCells count="6">
    <mergeCell ref="C4:C5"/>
    <mergeCell ref="A2:C2"/>
    <mergeCell ref="D2:F2"/>
    <mergeCell ref="F5:F6"/>
    <mergeCell ref="A4:A7"/>
    <mergeCell ref="D4:D7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Product</vt:lpstr>
      <vt:lpstr>Venta</vt:lpstr>
      <vt:lpstr>Venta Semana</vt:lpstr>
      <vt:lpstr>Venta por Vendedor</vt:lpstr>
      <vt:lpstr>Base de datos clientes</vt:lpstr>
      <vt:lpstr>Plan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</dc:creator>
  <cp:lastModifiedBy>Nicolle Avila</cp:lastModifiedBy>
  <dcterms:created xsi:type="dcterms:W3CDTF">2015-06-05T18:19:34Z</dcterms:created>
  <dcterms:modified xsi:type="dcterms:W3CDTF">2026-06-22T00:40:25Z</dcterms:modified>
</cp:coreProperties>
</file>